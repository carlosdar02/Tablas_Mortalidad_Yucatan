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b52b58c63bec7e/Documentos/FAC CIENCIAS/Demo/Demo_Final_Proj/output/"/>
    </mc:Choice>
  </mc:AlternateContent>
  <xr:revisionPtr revIDLastSave="1" documentId="8_{22CF226F-AF78-4F4C-B8D5-6D557EFF6302}" xr6:coauthVersionLast="47" xr6:coauthVersionMax="47" xr10:uidLastSave="{1C49A7BE-49C0-4CDE-A91C-E2DC4E0479BF}"/>
  <bookViews>
    <workbookView xWindow="-108" yWindow="-108" windowWidth="23256" windowHeight="12456" xr2:uid="{981967DA-4EA6-4F20-A7A5-BB4336CFA1BD}"/>
  </bookViews>
  <sheets>
    <sheet name="Decrementos Múltiples" sheetId="8" r:id="rId1"/>
    <sheet name="LT" sheetId="6" r:id="rId2"/>
    <sheet name="Homicidios" sheetId="10" r:id="rId3"/>
    <sheet name="Defunciones generales" sheetId="9" r:id="rId4"/>
  </sheets>
  <externalReferences>
    <externalReference r:id="rId5"/>
    <externalReference r:id="rId6"/>
  </externalReferences>
  <definedNames>
    <definedName name="Family">[1]Coefficients!$AI$9:$AI$10</definedName>
    <definedName name="FamSelect">[1]Coefficients!$AJ$8</definedName>
    <definedName name="Princeton">[1]Coefficients!$AI$13:$AI$16</definedName>
    <definedName name="Sex">[1]Coefficients!$AI$29:$AI$31</definedName>
    <definedName name="UN">[1]Coefficients!$AI$17:$AI$21</definedName>
    <definedName name="Variant">[1]Coefficients!$AI$24:$AI$26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2" i="8" l="1"/>
  <c r="Q45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27" i="8"/>
  <c r="AB28" i="8" s="1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27" i="8"/>
  <c r="H28" i="8"/>
  <c r="I28" i="8" s="1"/>
  <c r="H29" i="8"/>
  <c r="H30" i="8"/>
  <c r="H31" i="8"/>
  <c r="H32" i="8"/>
  <c r="H33" i="8"/>
  <c r="H34" i="8"/>
  <c r="H35" i="8"/>
  <c r="I35" i="8" s="1"/>
  <c r="H36" i="8"/>
  <c r="I36" i="8" s="1"/>
  <c r="H37" i="8"/>
  <c r="I37" i="8" s="1"/>
  <c r="H38" i="8"/>
  <c r="H39" i="8"/>
  <c r="H40" i="8"/>
  <c r="I40" i="8" s="1"/>
  <c r="H41" i="8"/>
  <c r="H42" i="8"/>
  <c r="H43" i="8"/>
  <c r="H44" i="8"/>
  <c r="H45" i="8"/>
  <c r="H27" i="8"/>
  <c r="I27" i="8" s="1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27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4" i="8"/>
  <c r="AA28" i="8" s="1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4" i="8"/>
  <c r="H5" i="8"/>
  <c r="H6" i="8"/>
  <c r="H7" i="8"/>
  <c r="H8" i="8"/>
  <c r="H9" i="8"/>
  <c r="H10" i="8"/>
  <c r="H11" i="8"/>
  <c r="H12" i="8"/>
  <c r="I12" i="8" s="1"/>
  <c r="H13" i="8"/>
  <c r="I13" i="8" s="1"/>
  <c r="H14" i="8"/>
  <c r="H15" i="8"/>
  <c r="H16" i="8"/>
  <c r="I16" i="8" s="1"/>
  <c r="H17" i="8"/>
  <c r="H18" i="8"/>
  <c r="H19" i="8"/>
  <c r="H20" i="8"/>
  <c r="H21" i="8"/>
  <c r="H22" i="8"/>
  <c r="H4" i="8"/>
  <c r="I4" i="8" s="1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4" i="8"/>
  <c r="E28" i="8"/>
  <c r="E29" i="8"/>
  <c r="F29" i="8" s="1"/>
  <c r="E30" i="8"/>
  <c r="E31" i="8"/>
  <c r="E32" i="8"/>
  <c r="E33" i="8"/>
  <c r="E34" i="8"/>
  <c r="F34" i="8" s="1"/>
  <c r="E35" i="8"/>
  <c r="E36" i="8"/>
  <c r="E37" i="8"/>
  <c r="F37" i="8" s="1"/>
  <c r="E38" i="8"/>
  <c r="E39" i="8"/>
  <c r="E40" i="8"/>
  <c r="F40" i="8" s="1"/>
  <c r="E41" i="8"/>
  <c r="E42" i="8"/>
  <c r="E43" i="8"/>
  <c r="F43" i="8" s="1"/>
  <c r="L43" i="8" s="1"/>
  <c r="M43" i="8" s="1"/>
  <c r="E44" i="8"/>
  <c r="E45" i="8"/>
  <c r="E27" i="8"/>
  <c r="E5" i="8"/>
  <c r="E6" i="8"/>
  <c r="E7" i="8"/>
  <c r="E8" i="8"/>
  <c r="F8" i="8" s="1"/>
  <c r="E9" i="8"/>
  <c r="E10" i="8"/>
  <c r="E11" i="8"/>
  <c r="F11" i="8" s="1"/>
  <c r="E12" i="8"/>
  <c r="E13" i="8"/>
  <c r="F13" i="8" s="1"/>
  <c r="E14" i="8"/>
  <c r="F14" i="8" s="1"/>
  <c r="E15" i="8"/>
  <c r="E16" i="8"/>
  <c r="E17" i="8"/>
  <c r="E18" i="8"/>
  <c r="E19" i="8"/>
  <c r="E20" i="8"/>
  <c r="E21" i="8"/>
  <c r="E22" i="8"/>
  <c r="F22" i="8" s="1"/>
  <c r="P22" i="8" s="1"/>
  <c r="E4" i="8"/>
  <c r="D28" i="8"/>
  <c r="D29" i="8"/>
  <c r="D30" i="8"/>
  <c r="D31" i="8"/>
  <c r="D32" i="8"/>
  <c r="D33" i="8"/>
  <c r="D34" i="8"/>
  <c r="D35" i="8"/>
  <c r="F35" i="8" s="1"/>
  <c r="D36" i="8"/>
  <c r="D37" i="8"/>
  <c r="D38" i="8"/>
  <c r="D39" i="8"/>
  <c r="F39" i="8" s="1"/>
  <c r="D40" i="8"/>
  <c r="D41" i="8"/>
  <c r="D42" i="8"/>
  <c r="D43" i="8"/>
  <c r="D44" i="8"/>
  <c r="D45" i="8"/>
  <c r="D27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4" i="8"/>
  <c r="F5" i="8"/>
  <c r="F6" i="8"/>
  <c r="F18" i="8"/>
  <c r="L18" i="8" s="1"/>
  <c r="M18" i="8" s="1"/>
  <c r="F19" i="8"/>
  <c r="I44" i="8"/>
  <c r="F44" i="8"/>
  <c r="I43" i="8"/>
  <c r="I42" i="8"/>
  <c r="F42" i="8"/>
  <c r="L42" i="8" s="1"/>
  <c r="M42" i="8" s="1"/>
  <c r="F38" i="8"/>
  <c r="I33" i="8"/>
  <c r="F33" i="8"/>
  <c r="L33" i="8" s="1"/>
  <c r="M33" i="8" s="1"/>
  <c r="V32" i="8"/>
  <c r="F32" i="8"/>
  <c r="I31" i="8"/>
  <c r="F31" i="8"/>
  <c r="L31" i="8" s="1"/>
  <c r="M31" i="8" s="1"/>
  <c r="F30" i="8"/>
  <c r="I29" i="8"/>
  <c r="F27" i="8"/>
  <c r="I21" i="8"/>
  <c r="I18" i="8"/>
  <c r="I11" i="8"/>
  <c r="V9" i="8"/>
  <c r="I9" i="8"/>
  <c r="F9" i="8"/>
  <c r="L9" i="8" s="1"/>
  <c r="M9" i="8" s="1"/>
  <c r="I7" i="8"/>
  <c r="F7" i="8"/>
  <c r="L7" i="8" s="1"/>
  <c r="M7" i="8" s="1"/>
  <c r="L40" i="8" l="1"/>
  <c r="M40" i="8" s="1"/>
  <c r="L37" i="8"/>
  <c r="M37" i="8" s="1"/>
  <c r="L35" i="8"/>
  <c r="M35" i="8" s="1"/>
  <c r="L13" i="8"/>
  <c r="M13" i="8" s="1"/>
  <c r="L11" i="8"/>
  <c r="M11" i="8" s="1"/>
  <c r="F45" i="8"/>
  <c r="L45" i="8" s="1"/>
  <c r="M45" i="8" s="1"/>
  <c r="L30" i="8"/>
  <c r="M30" i="8" s="1"/>
  <c r="F41" i="8"/>
  <c r="F28" i="8"/>
  <c r="F16" i="8"/>
  <c r="L16" i="8" s="1"/>
  <c r="M16" i="8" s="1"/>
  <c r="F15" i="8"/>
  <c r="L15" i="8" s="1"/>
  <c r="M15" i="8" s="1"/>
  <c r="F4" i="8"/>
  <c r="L4" i="8" s="1"/>
  <c r="N5" i="8" s="1"/>
  <c r="F36" i="8"/>
  <c r="L36" i="8" s="1"/>
  <c r="M36" i="8" s="1"/>
  <c r="L39" i="8"/>
  <c r="M39" i="8" s="1"/>
  <c r="L44" i="8"/>
  <c r="M44" i="8" s="1"/>
  <c r="P44" i="8" s="1"/>
  <c r="L41" i="8"/>
  <c r="M41" i="8" s="1"/>
  <c r="F12" i="8"/>
  <c r="L12" i="8" s="1"/>
  <c r="M12" i="8" s="1"/>
  <c r="F21" i="8"/>
  <c r="L21" i="8" s="1"/>
  <c r="M21" i="8" s="1"/>
  <c r="P21" i="8" s="1"/>
  <c r="F20" i="8"/>
  <c r="L20" i="8" s="1"/>
  <c r="M20" i="8" s="1"/>
  <c r="L6" i="8"/>
  <c r="M6" i="8" s="1"/>
  <c r="L14" i="8"/>
  <c r="M14" i="8" s="1"/>
  <c r="I14" i="8"/>
  <c r="L38" i="8"/>
  <c r="M38" i="8" s="1"/>
  <c r="L5" i="8"/>
  <c r="M5" i="8" s="1"/>
  <c r="I5" i="8"/>
  <c r="L19" i="8"/>
  <c r="M19" i="8" s="1"/>
  <c r="L22" i="8"/>
  <c r="M22" i="8" s="1"/>
  <c r="L8" i="8"/>
  <c r="M8" i="8" s="1"/>
  <c r="I8" i="8"/>
  <c r="I10" i="8"/>
  <c r="L32" i="8"/>
  <c r="M32" i="8" s="1"/>
  <c r="I45" i="8"/>
  <c r="L34" i="8"/>
  <c r="M34" i="8" s="1"/>
  <c r="I17" i="8"/>
  <c r="F10" i="8"/>
  <c r="L10" i="8" s="1"/>
  <c r="M10" i="8" s="1"/>
  <c r="F17" i="8"/>
  <c r="L17" i="8" s="1"/>
  <c r="M17" i="8" s="1"/>
  <c r="L27" i="8"/>
  <c r="I38" i="8"/>
  <c r="I19" i="8"/>
  <c r="L29" i="8"/>
  <c r="M29" i="8" s="1"/>
  <c r="P29" i="8" s="1"/>
  <c r="I41" i="8"/>
  <c r="I22" i="8"/>
  <c r="I34" i="8"/>
  <c r="I30" i="8"/>
  <c r="I39" i="8"/>
  <c r="I32" i="8"/>
  <c r="I6" i="8"/>
  <c r="I15" i="8"/>
  <c r="I20" i="8"/>
  <c r="L28" i="8"/>
  <c r="M28" i="8" s="1"/>
  <c r="P28" i="8" s="1"/>
  <c r="M4" i="8" l="1"/>
  <c r="P45" i="8"/>
  <c r="P5" i="8"/>
  <c r="P6" i="8"/>
  <c r="N28" i="8"/>
  <c r="M27" i="8"/>
  <c r="O4" i="8"/>
  <c r="P4" i="8"/>
  <c r="O5" i="8"/>
  <c r="N6" i="8"/>
  <c r="Q4" i="8" l="1"/>
  <c r="Q5" i="8"/>
  <c r="N7" i="8"/>
  <c r="O6" i="8"/>
  <c r="O27" i="8"/>
  <c r="P27" i="8"/>
  <c r="O28" i="8"/>
  <c r="N29" i="8"/>
  <c r="Q27" i="8"/>
  <c r="O29" i="8" l="1"/>
  <c r="Q28" i="8"/>
  <c r="N30" i="8"/>
  <c r="N8" i="8"/>
  <c r="O7" i="8"/>
  <c r="Q6" i="8"/>
  <c r="O8" i="8" l="1"/>
  <c r="P7" i="8" s="1"/>
  <c r="Q7" i="8" s="1"/>
  <c r="N9" i="8"/>
  <c r="Q29" i="8"/>
  <c r="N31" i="8"/>
  <c r="O30" i="8"/>
  <c r="N32" i="8" l="1"/>
  <c r="O31" i="8"/>
  <c r="N10" i="8"/>
  <c r="O9" i="8"/>
  <c r="O32" i="8" l="1"/>
  <c r="N33" i="8"/>
  <c r="P8" i="8"/>
  <c r="Q8" i="8" s="1"/>
  <c r="O10" i="8"/>
  <c r="N11" i="8"/>
  <c r="P30" i="8"/>
  <c r="Q30" i="8" s="1"/>
  <c r="P31" i="8" l="1"/>
  <c r="Q31" i="8" s="1"/>
  <c r="O11" i="8"/>
  <c r="P10" i="8" s="1"/>
  <c r="Q10" i="8" s="1"/>
  <c r="N12" i="8"/>
  <c r="P9" i="8"/>
  <c r="Q9" i="8" s="1"/>
  <c r="N34" i="8"/>
  <c r="O33" i="8"/>
  <c r="N35" i="8" l="1"/>
  <c r="O34" i="8"/>
  <c r="O12" i="8"/>
  <c r="N13" i="8"/>
  <c r="P32" i="8"/>
  <c r="Q32" i="8" s="1"/>
  <c r="P33" i="8"/>
  <c r="Q33" i="8" s="1"/>
  <c r="N36" i="8" l="1"/>
  <c r="O35" i="8"/>
  <c r="P11" i="8"/>
  <c r="Q11" i="8" s="1"/>
  <c r="N14" i="8"/>
  <c r="O13" i="8"/>
  <c r="P34" i="8"/>
  <c r="Q34" i="8" s="1"/>
  <c r="O14" i="8" l="1"/>
  <c r="N15" i="8"/>
  <c r="P12" i="8"/>
  <c r="Q12" i="8" s="1"/>
  <c r="O36" i="8"/>
  <c r="N37" i="8"/>
  <c r="N38" i="8" l="1"/>
  <c r="O37" i="8"/>
  <c r="P35" i="8"/>
  <c r="Q35" i="8" s="1"/>
  <c r="P13" i="8"/>
  <c r="Q13" i="8" s="1"/>
  <c r="P36" i="8"/>
  <c r="Q36" i="8" s="1"/>
  <c r="N16" i="8"/>
  <c r="O15" i="8"/>
  <c r="O38" i="8" l="1"/>
  <c r="N39" i="8"/>
  <c r="P14" i="8"/>
  <c r="Q14" i="8" s="1"/>
  <c r="N17" i="8"/>
  <c r="O16" i="8"/>
  <c r="O17" i="8" l="1"/>
  <c r="N18" i="8"/>
  <c r="P15" i="8"/>
  <c r="Q15" i="8" s="1"/>
  <c r="N40" i="8"/>
  <c r="O39" i="8"/>
  <c r="P38" i="8" s="1"/>
  <c r="Q38" i="8" s="1"/>
  <c r="P37" i="8"/>
  <c r="Q37" i="8" s="1"/>
  <c r="N41" i="8" l="1"/>
  <c r="O40" i="8"/>
  <c r="O18" i="8"/>
  <c r="N19" i="8"/>
  <c r="P16" i="8"/>
  <c r="Q16" i="8" s="1"/>
  <c r="O19" i="8" l="1"/>
  <c r="N20" i="8"/>
  <c r="P17" i="8"/>
  <c r="Q17" i="8" s="1"/>
  <c r="P39" i="8"/>
  <c r="Q39" i="8" s="1"/>
  <c r="O41" i="8"/>
  <c r="N42" i="8"/>
  <c r="P40" i="8" l="1"/>
  <c r="Q40" i="8" s="1"/>
  <c r="N43" i="8"/>
  <c r="O42" i="8"/>
  <c r="N21" i="8"/>
  <c r="O20" i="8"/>
  <c r="P19" i="8" s="1"/>
  <c r="Q19" i="8" s="1"/>
  <c r="P18" i="8"/>
  <c r="Q18" i="8" s="1"/>
  <c r="N22" i="8" l="1"/>
  <c r="O21" i="8"/>
  <c r="P20" i="8" s="1"/>
  <c r="Q20" i="8" s="1"/>
  <c r="O43" i="8"/>
  <c r="N44" i="8"/>
  <c r="P41" i="8"/>
  <c r="Q41" i="8" s="1"/>
  <c r="P42" i="8"/>
  <c r="Q42" i="8" s="1"/>
  <c r="N45" i="8" l="1"/>
  <c r="O44" i="8"/>
  <c r="P43" i="8" s="1"/>
  <c r="Q43" i="8" s="1"/>
  <c r="Q21" i="8"/>
  <c r="R22" i="8"/>
  <c r="O22" i="8"/>
  <c r="R21" i="8" l="1"/>
  <c r="S22" i="8"/>
  <c r="T22" i="8" s="1"/>
  <c r="R45" i="8"/>
  <c r="Q44" i="8"/>
  <c r="O45" i="8"/>
  <c r="S45" i="8" l="1"/>
  <c r="T45" i="8" s="1"/>
  <c r="R44" i="8"/>
  <c r="S21" i="8"/>
  <c r="T21" i="8" s="1"/>
  <c r="R20" i="8"/>
  <c r="S20" i="8" l="1"/>
  <c r="T20" i="8" s="1"/>
  <c r="R19" i="8"/>
  <c r="S44" i="8"/>
  <c r="T44" i="8" s="1"/>
  <c r="R43" i="8"/>
  <c r="R42" i="8" l="1"/>
  <c r="S43" i="8"/>
  <c r="T43" i="8" s="1"/>
  <c r="R18" i="8"/>
  <c r="S19" i="8"/>
  <c r="T19" i="8" s="1"/>
  <c r="S18" i="8" l="1"/>
  <c r="T18" i="8" s="1"/>
  <c r="R17" i="8"/>
  <c r="S42" i="8"/>
  <c r="T42" i="8" s="1"/>
  <c r="R41" i="8"/>
  <c r="R40" i="8" l="1"/>
  <c r="S41" i="8"/>
  <c r="T41" i="8" s="1"/>
  <c r="R16" i="8"/>
  <c r="S17" i="8"/>
  <c r="T17" i="8" s="1"/>
  <c r="S40" i="8" l="1"/>
  <c r="T40" i="8" s="1"/>
  <c r="R39" i="8"/>
  <c r="S16" i="8"/>
  <c r="T16" i="8" s="1"/>
  <c r="R15" i="8"/>
  <c r="R38" i="8" l="1"/>
  <c r="S39" i="8"/>
  <c r="T39" i="8" s="1"/>
  <c r="R14" i="8"/>
  <c r="S15" i="8"/>
  <c r="T15" i="8" s="1"/>
  <c r="R37" i="8" l="1"/>
  <c r="S38" i="8"/>
  <c r="T38" i="8" s="1"/>
  <c r="R13" i="8"/>
  <c r="S14" i="8"/>
  <c r="T14" i="8" s="1"/>
  <c r="S37" i="8" l="1"/>
  <c r="T37" i="8" s="1"/>
  <c r="R36" i="8"/>
  <c r="S13" i="8"/>
  <c r="T13" i="8" s="1"/>
  <c r="R12" i="8"/>
  <c r="R35" i="8" l="1"/>
  <c r="S36" i="8"/>
  <c r="T36" i="8" s="1"/>
  <c r="R11" i="8"/>
  <c r="S12" i="8"/>
  <c r="T12" i="8" s="1"/>
  <c r="S11" i="8" l="1"/>
  <c r="T11" i="8" s="1"/>
  <c r="R10" i="8"/>
  <c r="S35" i="8"/>
  <c r="T35" i="8" s="1"/>
  <c r="R34" i="8"/>
  <c r="R9" i="8" l="1"/>
  <c r="S10" i="8"/>
  <c r="T10" i="8" s="1"/>
  <c r="R33" i="8"/>
  <c r="S34" i="8"/>
  <c r="T34" i="8" s="1"/>
  <c r="S33" i="8" l="1"/>
  <c r="T33" i="8" s="1"/>
  <c r="R32" i="8"/>
  <c r="S9" i="8"/>
  <c r="T9" i="8" s="1"/>
  <c r="R8" i="8"/>
  <c r="R7" i="8" l="1"/>
  <c r="S8" i="8"/>
  <c r="T8" i="8" s="1"/>
  <c r="R31" i="8"/>
  <c r="S32" i="8"/>
  <c r="T32" i="8" s="1"/>
  <c r="S31" i="8" l="1"/>
  <c r="T31" i="8" s="1"/>
  <c r="R30" i="8"/>
  <c r="S7" i="8"/>
  <c r="T7" i="8" s="1"/>
  <c r="R6" i="8"/>
  <c r="R5" i="8" l="1"/>
  <c r="S6" i="8"/>
  <c r="T6" i="8" s="1"/>
  <c r="S30" i="8"/>
  <c r="T30" i="8" s="1"/>
  <c r="R29" i="8"/>
  <c r="S29" i="8" l="1"/>
  <c r="T29" i="8" s="1"/>
  <c r="R28" i="8"/>
  <c r="R4" i="8"/>
  <c r="S5" i="8"/>
  <c r="T5" i="8" s="1"/>
  <c r="W9" i="8" l="1"/>
  <c r="W10" i="8" s="1"/>
  <c r="S4" i="8"/>
  <c r="R27" i="8"/>
  <c r="S28" i="8"/>
  <c r="T28" i="8" s="1"/>
  <c r="S27" i="8" l="1"/>
  <c r="W32" i="8"/>
  <c r="W33" i="8" s="1"/>
  <c r="AA27" i="8"/>
  <c r="AA29" i="8" s="1"/>
  <c r="T4" i="8"/>
  <c r="AB27" i="8" l="1"/>
  <c r="AB29" i="8" s="1"/>
  <c r="T27" i="8"/>
</calcChain>
</file>

<file path=xl/sharedStrings.xml><?xml version="1.0" encoding="utf-8"?>
<sst xmlns="http://schemas.openxmlformats.org/spreadsheetml/2006/main" count="1736" uniqueCount="42">
  <si>
    <t>year</t>
  </si>
  <si>
    <t>sex</t>
  </si>
  <si>
    <t>age</t>
  </si>
  <si>
    <t>deaths</t>
  </si>
  <si>
    <t>male</t>
  </si>
  <si>
    <t>female</t>
  </si>
  <si>
    <t>lt_desc</t>
  </si>
  <si>
    <t>mx</t>
  </si>
  <si>
    <t>qx</t>
  </si>
  <si>
    <t>ax</t>
  </si>
  <si>
    <t>lx</t>
  </si>
  <si>
    <t>dx</t>
  </si>
  <si>
    <t>Lx</t>
  </si>
  <si>
    <t>Tx</t>
  </si>
  <si>
    <t>ex</t>
  </si>
  <si>
    <t>LT VR/Census, MEX</t>
  </si>
  <si>
    <t>m</t>
  </si>
  <si>
    <t>NA</t>
  </si>
  <si>
    <t>f</t>
  </si>
  <si>
    <t>Hombres, 2019</t>
  </si>
  <si>
    <t>Age x</t>
  </si>
  <si>
    <t>n</t>
  </si>
  <si>
    <t>nDx</t>
  </si>
  <si>
    <t>nDxi</t>
  </si>
  <si>
    <t>nqx</t>
  </si>
  <si>
    <t>e0</t>
  </si>
  <si>
    <t>nqx_i</t>
  </si>
  <si>
    <t>ndx_i</t>
  </si>
  <si>
    <t>L</t>
  </si>
  <si>
    <t>T</t>
  </si>
  <si>
    <t>e0_i</t>
  </si>
  <si>
    <t>diff</t>
  </si>
  <si>
    <t>Número de años que se espera 
que viva un hombre de 0 años 
hasta llegar a los 85 años.</t>
  </si>
  <si>
    <t>Sin COVID</t>
  </si>
  <si>
    <t>Con COVID</t>
  </si>
  <si>
    <t>Diff</t>
  </si>
  <si>
    <t>Mujeres, 2019</t>
  </si>
  <si>
    <t>Hombres</t>
  </si>
  <si>
    <t>Mujeres</t>
  </si>
  <si>
    <t>Sin homicidios</t>
  </si>
  <si>
    <t>Número de años que se espera 
que viva una mujer de 0 años 
hasta llegar a los 85 años.</t>
  </si>
  <si>
    <t>Con homicidios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</si>
</sst>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00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Georgia"/>
      <family val="1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b/>
      <sz val="11"/>
      <color rgb="FF000000"/>
      <name val="Georgia"/>
      <family val="1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00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9"/>
        <bgColor rgb="FFFFFF00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11" fontId="0" fillId="0" borderId="0" xfId="0" applyNumberFormat="1"/>
    <xf numFmtId="0" fontId="2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3" fontId="3" fillId="3" borderId="0" xfId="0" applyNumberFormat="1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3" fontId="3" fillId="4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center"/>
    </xf>
    <xf numFmtId="2" fontId="6" fillId="5" borderId="0" xfId="0" applyNumberFormat="1" applyFont="1" applyFill="1" applyAlignment="1">
      <alignment horizontal="center"/>
    </xf>
    <xf numFmtId="165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2" fontId="6" fillId="6" borderId="0" xfId="0" applyNumberFormat="1" applyFont="1" applyFill="1" applyAlignment="1">
      <alignment horizontal="center"/>
    </xf>
    <xf numFmtId="2" fontId="1" fillId="0" borderId="5" xfId="0" applyNumberFormat="1" applyFont="1" applyBorder="1"/>
    <xf numFmtId="0" fontId="1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/>
    </xf>
    <xf numFmtId="2" fontId="1" fillId="0" borderId="12" xfId="0" applyNumberFormat="1" applyFont="1" applyBorder="1"/>
    <xf numFmtId="0" fontId="2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164" fontId="3" fillId="0" borderId="14" xfId="0" applyNumberFormat="1" applyFont="1" applyBorder="1" applyAlignment="1">
      <alignment horizontal="center"/>
    </xf>
    <xf numFmtId="2" fontId="3" fillId="3" borderId="14" xfId="0" applyNumberFormat="1" applyFont="1" applyFill="1" applyBorder="1" applyAlignment="1">
      <alignment horizontal="center"/>
    </xf>
    <xf numFmtId="165" fontId="3" fillId="0" borderId="14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166" fontId="3" fillId="0" borderId="14" xfId="0" applyNumberFormat="1" applyFont="1" applyBorder="1" applyAlignment="1">
      <alignment horizontal="center"/>
    </xf>
    <xf numFmtId="2" fontId="1" fillId="0" borderId="15" xfId="0" applyNumberFormat="1" applyFont="1" applyBorder="1"/>
    <xf numFmtId="0" fontId="2" fillId="7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2" fillId="0" borderId="0" xfId="0" applyFont="1"/>
    <xf numFmtId="3" fontId="3" fillId="8" borderId="0" xfId="0" applyNumberFormat="1" applyFont="1" applyFill="1" applyAlignment="1">
      <alignment horizontal="center"/>
    </xf>
    <xf numFmtId="3" fontId="3" fillId="9" borderId="0" xfId="0" applyNumberFormat="1" applyFont="1" applyFill="1" applyAlignment="1">
      <alignment horizontal="center"/>
    </xf>
    <xf numFmtId="164" fontId="3" fillId="8" borderId="0" xfId="0" applyNumberFormat="1" applyFont="1" applyFill="1" applyAlignment="1">
      <alignment horizontal="center"/>
    </xf>
    <xf numFmtId="0" fontId="3" fillId="8" borderId="0" xfId="0" applyFont="1" applyFill="1" applyAlignment="1">
      <alignment horizontal="center"/>
    </xf>
    <xf numFmtId="2" fontId="6" fillId="10" borderId="0" xfId="0" applyNumberFormat="1" applyFont="1" applyFill="1" applyAlignment="1">
      <alignment horizontal="center"/>
    </xf>
    <xf numFmtId="2" fontId="6" fillId="11" borderId="0" xfId="0" applyNumberFormat="1" applyFont="1" applyFill="1" applyAlignment="1">
      <alignment horizontal="center"/>
    </xf>
    <xf numFmtId="0" fontId="1" fillId="0" borderId="16" xfId="0" applyFont="1" applyBorder="1"/>
    <xf numFmtId="2" fontId="0" fillId="0" borderId="16" xfId="0" applyNumberFormat="1" applyBorder="1"/>
    <xf numFmtId="0" fontId="1" fillId="0" borderId="0" xfId="0" applyFont="1" applyAlignment="1">
      <alignment horizontal="center"/>
    </xf>
    <xf numFmtId="2" fontId="0" fillId="0" borderId="0" xfId="0" applyNumberFormat="1"/>
    <xf numFmtId="2" fontId="1" fillId="0" borderId="0" xfId="0" applyNumberFormat="1" applyFont="1"/>
    <xf numFmtId="2" fontId="3" fillId="8" borderId="14" xfId="0" applyNumberFormat="1" applyFont="1" applyFill="1" applyBorder="1" applyAlignment="1">
      <alignment horizontal="center"/>
    </xf>
    <xf numFmtId="0" fontId="0" fillId="6" borderId="0" xfId="0" applyFill="1"/>
    <xf numFmtId="0" fontId="0" fillId="8" borderId="0" xfId="0" applyFill="1"/>
    <xf numFmtId="11" fontId="0" fillId="6" borderId="0" xfId="0" applyNumberFormat="1" applyFill="1"/>
    <xf numFmtId="11" fontId="0" fillId="8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0">
                <a:solidFill>
                  <a:srgbClr val="757575"/>
                </a:solidFill>
                <a:latin typeface="+mn-lt"/>
              </a:defRPr>
            </a:pPr>
            <a:r>
              <a:rPr lang="es-MX" sz="1800" b="0">
                <a:solidFill>
                  <a:srgbClr val="757575"/>
                </a:solidFill>
                <a:latin typeface="+mn-lt"/>
              </a:rPr>
              <a:t>Mujeres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'Decrementos Múltiples'!$I$26</c:f>
              <c:strCache>
                <c:ptCount val="1"/>
                <c:pt idx="0">
                  <c:v>nqx</c:v>
                </c:pt>
              </c:strCache>
            </c:strRef>
          </c:tx>
          <c:spPr>
            <a:ln cmpd="sng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'Decrementos Múltiples'!$B$27:$B$45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Múltiples'!$I$27:$I$45</c:f>
              <c:numCache>
                <c:formatCode>0.0000</c:formatCode>
                <c:ptCount val="19"/>
                <c:pt idx="0">
                  <c:v>2.0065E-2</c:v>
                </c:pt>
                <c:pt idx="1">
                  <c:v>3.5420000000000451E-3</c:v>
                </c:pt>
                <c:pt idx="2">
                  <c:v>1.5709999999999891E-3</c:v>
                </c:pt>
                <c:pt idx="3">
                  <c:v>2.3570000000000535E-3</c:v>
                </c:pt>
                <c:pt idx="4">
                  <c:v>3.8070000000000048E-3</c:v>
                </c:pt>
                <c:pt idx="5">
                  <c:v>4.9329999999999652E-3</c:v>
                </c:pt>
                <c:pt idx="6">
                  <c:v>5.2740000000000009E-3</c:v>
                </c:pt>
                <c:pt idx="7">
                  <c:v>9.1189999999999882E-3</c:v>
                </c:pt>
                <c:pt idx="8">
                  <c:v>1.0422000000000042E-2</c:v>
                </c:pt>
                <c:pt idx="9">
                  <c:v>1.6569000000000056E-2</c:v>
                </c:pt>
                <c:pt idx="10">
                  <c:v>2.6680999999999955E-2</c:v>
                </c:pt>
                <c:pt idx="11">
                  <c:v>3.9872000000000019E-2</c:v>
                </c:pt>
                <c:pt idx="12">
                  <c:v>6.0919999999999974E-2</c:v>
                </c:pt>
                <c:pt idx="13">
                  <c:v>0.10071600000000003</c:v>
                </c:pt>
                <c:pt idx="14">
                  <c:v>0.14327899999999993</c:v>
                </c:pt>
                <c:pt idx="15">
                  <c:v>0.216947</c:v>
                </c:pt>
                <c:pt idx="16">
                  <c:v>0.32817699999999994</c:v>
                </c:pt>
                <c:pt idx="17">
                  <c:v>0.50349699999999997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29-4E0D-B6A5-89D074AFA1DC}"/>
            </c:ext>
          </c:extLst>
        </c:ser>
        <c:ser>
          <c:idx val="1"/>
          <c:order val="1"/>
          <c:tx>
            <c:strRef>
              <c:f>'Decrementos Múltiples'!$M$26</c:f>
              <c:strCache>
                <c:ptCount val="1"/>
                <c:pt idx="0">
                  <c:v>nqx_i</c:v>
                </c:pt>
              </c:strCache>
            </c:strRef>
          </c:tx>
          <c:spPr>
            <a:ln cmpd="sng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'Decrementos Múltiples'!$B$27:$B$45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Múltiples'!$M$27:$M$45</c:f>
              <c:numCache>
                <c:formatCode>#,##0.0000</c:formatCode>
                <c:ptCount val="19"/>
                <c:pt idx="0">
                  <c:v>2.0065E-2</c:v>
                </c:pt>
                <c:pt idx="1">
                  <c:v>3.5420000000000451E-3</c:v>
                </c:pt>
                <c:pt idx="2">
                  <c:v>1.5709999999999891E-3</c:v>
                </c:pt>
                <c:pt idx="3">
                  <c:v>2.3570000000000535E-3</c:v>
                </c:pt>
                <c:pt idx="4">
                  <c:v>3.8070000000000048E-3</c:v>
                </c:pt>
                <c:pt idx="5">
                  <c:v>4.9329999999999652E-3</c:v>
                </c:pt>
                <c:pt idx="6">
                  <c:v>5.2740000000000009E-3</c:v>
                </c:pt>
                <c:pt idx="7">
                  <c:v>9.0122123809682764E-3</c:v>
                </c:pt>
                <c:pt idx="8">
                  <c:v>1.0309922150804063E-2</c:v>
                </c:pt>
                <c:pt idx="9">
                  <c:v>1.6448629404685278E-2</c:v>
                </c:pt>
                <c:pt idx="10">
                  <c:v>2.6680999999999955E-2</c:v>
                </c:pt>
                <c:pt idx="11">
                  <c:v>3.9872000000000019E-2</c:v>
                </c:pt>
                <c:pt idx="12">
                  <c:v>6.0919999999999974E-2</c:v>
                </c:pt>
                <c:pt idx="13">
                  <c:v>0.10071600000000003</c:v>
                </c:pt>
                <c:pt idx="14">
                  <c:v>0.14327899999999993</c:v>
                </c:pt>
                <c:pt idx="15">
                  <c:v>0.216947</c:v>
                </c:pt>
                <c:pt idx="16">
                  <c:v>0.32779815216183639</c:v>
                </c:pt>
                <c:pt idx="17">
                  <c:v>0.50349699999999997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29-4E0D-B6A5-89D074AFA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733113"/>
        <c:axId val="33690205"/>
      </c:lineChart>
      <c:catAx>
        <c:axId val="815733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690205"/>
        <c:crosses val="autoZero"/>
        <c:auto val="1"/>
        <c:lblAlgn val="ctr"/>
        <c:lblOffset val="100"/>
        <c:noMultiLvlLbl val="1"/>
      </c:catAx>
      <c:valAx>
        <c:axId val="33690205"/>
        <c:scaling>
          <c:logBase val="10"/>
          <c:orientation val="minMax"/>
          <c:max val="1"/>
          <c:min val="8.0000000000000026E-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nqx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5733113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MX" b="0">
                <a:solidFill>
                  <a:srgbClr val="757575"/>
                </a:solidFill>
                <a:latin typeface="+mn-lt"/>
              </a:rPr>
              <a:t>Hombres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'Decrementos Múltiples'!$I$3</c:f>
              <c:strCache>
                <c:ptCount val="1"/>
                <c:pt idx="0">
                  <c:v>nqx</c:v>
                </c:pt>
              </c:strCache>
            </c:strRef>
          </c:tx>
          <c:spPr>
            <a:ln cmpd="sng">
              <a:solidFill>
                <a:srgbClr val="1CADE4"/>
              </a:solidFill>
            </a:ln>
          </c:spPr>
          <c:marker>
            <c:symbol val="none"/>
          </c:marker>
          <c:cat>
            <c:numRef>
              <c:f>'Decrementos Múltiples'!$B$4:$B$22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Múltiples'!$I$4:$I$22</c:f>
              <c:numCache>
                <c:formatCode>0.0000</c:formatCode>
                <c:ptCount val="19"/>
                <c:pt idx="0">
                  <c:v>2.2835999999999967E-2</c:v>
                </c:pt>
                <c:pt idx="1">
                  <c:v>3.7089999999999623E-3</c:v>
                </c:pt>
                <c:pt idx="2">
                  <c:v>1.915E-3</c:v>
                </c:pt>
                <c:pt idx="3">
                  <c:v>2.450999999999981E-3</c:v>
                </c:pt>
                <c:pt idx="4">
                  <c:v>6.620999999999988E-3</c:v>
                </c:pt>
                <c:pt idx="5">
                  <c:v>1.1982999999999966E-2</c:v>
                </c:pt>
                <c:pt idx="6">
                  <c:v>1.5986000000000056E-2</c:v>
                </c:pt>
                <c:pt idx="7">
                  <c:v>2.0457999999999976E-2</c:v>
                </c:pt>
                <c:pt idx="8">
                  <c:v>2.8113000000000055E-2</c:v>
                </c:pt>
                <c:pt idx="9">
                  <c:v>3.5382000000000025E-2</c:v>
                </c:pt>
                <c:pt idx="10">
                  <c:v>4.7814000000000023E-2</c:v>
                </c:pt>
                <c:pt idx="11">
                  <c:v>6.7080000000000028E-2</c:v>
                </c:pt>
                <c:pt idx="12">
                  <c:v>9.9561000000000011E-2</c:v>
                </c:pt>
                <c:pt idx="13">
                  <c:v>0.13170899999999996</c:v>
                </c:pt>
                <c:pt idx="14">
                  <c:v>0.18054300000000001</c:v>
                </c:pt>
                <c:pt idx="15">
                  <c:v>0.26796900000000001</c:v>
                </c:pt>
                <c:pt idx="16">
                  <c:v>0.36575400000000002</c:v>
                </c:pt>
                <c:pt idx="17">
                  <c:v>0.542161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CE-4962-A03C-7534D5D1CE3D}"/>
            </c:ext>
          </c:extLst>
        </c:ser>
        <c:ser>
          <c:idx val="1"/>
          <c:order val="1"/>
          <c:tx>
            <c:strRef>
              <c:f>'Decrementos Múltiples'!$M$3</c:f>
              <c:strCache>
                <c:ptCount val="1"/>
                <c:pt idx="0">
                  <c:v>nqx_i</c:v>
                </c:pt>
              </c:strCache>
            </c:strRef>
          </c:tx>
          <c:spPr>
            <a:ln cmpd="sng">
              <a:solidFill>
                <a:srgbClr val="2683C6"/>
              </a:solidFill>
            </a:ln>
          </c:spPr>
          <c:marker>
            <c:symbol val="none"/>
          </c:marker>
          <c:cat>
            <c:numRef>
              <c:f>'Decrementos Múltiples'!$B$4:$B$22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Múltiples'!$M$4:$M$22</c:f>
              <c:numCache>
                <c:formatCode>#,##0.0000</c:formatCode>
                <c:ptCount val="19"/>
                <c:pt idx="0">
                  <c:v>2.2715374853640835E-2</c:v>
                </c:pt>
                <c:pt idx="1">
                  <c:v>3.7089999999999623E-3</c:v>
                </c:pt>
                <c:pt idx="2">
                  <c:v>1.915E-3</c:v>
                </c:pt>
                <c:pt idx="3">
                  <c:v>2.450999999999981E-3</c:v>
                </c:pt>
                <c:pt idx="4">
                  <c:v>6.5210650036193751E-3</c:v>
                </c:pt>
                <c:pt idx="5">
                  <c:v>1.1982999999999966E-2</c:v>
                </c:pt>
                <c:pt idx="6">
                  <c:v>1.5248636249538872E-2</c:v>
                </c:pt>
                <c:pt idx="7">
                  <c:v>1.9568180804589885E-2</c:v>
                </c:pt>
                <c:pt idx="8">
                  <c:v>2.7533400365463256E-2</c:v>
                </c:pt>
                <c:pt idx="9">
                  <c:v>3.5001695655784593E-2</c:v>
                </c:pt>
                <c:pt idx="10">
                  <c:v>4.6701638906542331E-2</c:v>
                </c:pt>
                <c:pt idx="11">
                  <c:v>6.6420846370800146E-2</c:v>
                </c:pt>
                <c:pt idx="12">
                  <c:v>9.8995142445206241E-2</c:v>
                </c:pt>
                <c:pt idx="13">
                  <c:v>0.13127430451246325</c:v>
                </c:pt>
                <c:pt idx="14">
                  <c:v>0.18004722182630695</c:v>
                </c:pt>
                <c:pt idx="15">
                  <c:v>0.26796900000000001</c:v>
                </c:pt>
                <c:pt idx="16">
                  <c:v>0.36536907805025598</c:v>
                </c:pt>
                <c:pt idx="17">
                  <c:v>0.542161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CE-4962-A03C-7534D5D1C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733113"/>
        <c:axId val="33690205"/>
      </c:lineChart>
      <c:catAx>
        <c:axId val="815733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690205"/>
        <c:crosses val="autoZero"/>
        <c:auto val="1"/>
        <c:lblAlgn val="ctr"/>
        <c:lblOffset val="100"/>
        <c:noMultiLvlLbl val="1"/>
      </c:catAx>
      <c:valAx>
        <c:axId val="33690205"/>
        <c:scaling>
          <c:logBase val="10"/>
          <c:orientation val="minMax"/>
          <c:max val="1"/>
          <c:min val="8.0000000000000026E-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nqx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5733113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b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Esperanza de vida al nacer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'Decrementos Múltiples'!$Z$27</c:f>
              <c:strCache>
                <c:ptCount val="1"/>
                <c:pt idx="0">
                  <c:v>Sin homicidios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'Decrementos Múltiples'!$AA$26:$AB$26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'Decrementos Múltiples'!$AA$27:$AB$27</c:f>
              <c:numCache>
                <c:formatCode>0.00</c:formatCode>
                <c:ptCount val="2"/>
                <c:pt idx="0">
                  <c:v>65.131136674147868</c:v>
                </c:pt>
                <c:pt idx="1">
                  <c:v>70.465273146614976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4C-46EE-A89A-0A8B2A8DB589}"/>
            </c:ext>
          </c:extLst>
        </c:ser>
        <c:ser>
          <c:idx val="1"/>
          <c:order val="1"/>
          <c:tx>
            <c:strRef>
              <c:f>'Decrementos Múltiples'!$Z$28</c:f>
              <c:strCache>
                <c:ptCount val="1"/>
                <c:pt idx="0">
                  <c:v>Con homicidios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'Decrementos Múltiples'!$AA$26:$AB$26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'Decrementos Múltiples'!$AA$28:$AB$28</c:f>
              <c:numCache>
                <c:formatCode>0.00</c:formatCode>
                <c:ptCount val="2"/>
                <c:pt idx="0">
                  <c:v>64.930000000000007</c:v>
                </c:pt>
                <c:pt idx="1">
                  <c:v>70.39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4C-46EE-A89A-0A8B2A8DB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5771184"/>
        <c:axId val="1065771544"/>
      </c:barChart>
      <c:catAx>
        <c:axId val="106577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771544"/>
        <c:crosses val="autoZero"/>
        <c:auto val="1"/>
        <c:lblAlgn val="ctr"/>
        <c:lblOffset val="100"/>
        <c:noMultiLvlLbl val="0"/>
      </c:catAx>
      <c:valAx>
        <c:axId val="10657715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06577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chart" Target="../charts/chart3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11" Type="http://schemas.openxmlformats.org/officeDocument/2006/relationships/chart" Target="../charts/chart2.xml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826136</xdr:colOff>
      <xdr:row>2</xdr:row>
      <xdr:rowOff>9715</xdr:rowOff>
    </xdr:from>
    <xdr:ext cx="5696712" cy="4636008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F1221A7E-B567-4C35-8110-9154BBB204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349250</xdr:colOff>
      <xdr:row>25</xdr:row>
      <xdr:rowOff>66675</xdr:rowOff>
    </xdr:from>
    <xdr:ext cx="323850" cy="266700"/>
    <xdr:pic>
      <xdr:nvPicPr>
        <xdr:cNvPr id="3" name="image9.png" title="Image">
          <a:extLst>
            <a:ext uri="{FF2B5EF4-FFF2-40B4-BE49-F238E27FC236}">
              <a16:creationId xmlns:a16="http://schemas.microsoft.com/office/drawing/2014/main" id="{34151B38-4640-49E6-B8F5-379718FB9AE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6470" y="5050155"/>
          <a:ext cx="3238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25</xdr:row>
      <xdr:rowOff>71438</xdr:rowOff>
    </xdr:from>
    <xdr:ext cx="171450" cy="257175"/>
    <xdr:pic>
      <xdr:nvPicPr>
        <xdr:cNvPr id="4" name="image8.png" title="Image">
          <a:extLst>
            <a:ext uri="{FF2B5EF4-FFF2-40B4-BE49-F238E27FC236}">
              <a16:creationId xmlns:a16="http://schemas.microsoft.com/office/drawing/2014/main" id="{BAB70BCF-CAA3-4133-9A24-FFAACC44E8F3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836920" y="5054918"/>
          <a:ext cx="1714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25</xdr:row>
      <xdr:rowOff>71438</xdr:rowOff>
    </xdr:from>
    <xdr:ext cx="381000" cy="257175"/>
    <xdr:pic>
      <xdr:nvPicPr>
        <xdr:cNvPr id="5" name="image6.png" title="Image">
          <a:extLst>
            <a:ext uri="{FF2B5EF4-FFF2-40B4-BE49-F238E27FC236}">
              <a16:creationId xmlns:a16="http://schemas.microsoft.com/office/drawing/2014/main" id="{A984AB0F-2763-400C-B1D3-3267CE93F6B9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713220" y="5054918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330200</xdr:colOff>
      <xdr:row>25</xdr:row>
      <xdr:rowOff>71438</xdr:rowOff>
    </xdr:from>
    <xdr:ext cx="381000" cy="257175"/>
    <xdr:pic>
      <xdr:nvPicPr>
        <xdr:cNvPr id="6" name="image7.png" title="Image">
          <a:extLst>
            <a:ext uri="{FF2B5EF4-FFF2-40B4-BE49-F238E27FC236}">
              <a16:creationId xmlns:a16="http://schemas.microsoft.com/office/drawing/2014/main" id="{AC1EDDCF-4CE3-4C18-BECB-FA93C8C69928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719820" y="5054918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330200</xdr:colOff>
      <xdr:row>25</xdr:row>
      <xdr:rowOff>71438</xdr:rowOff>
    </xdr:from>
    <xdr:ext cx="352425" cy="257175"/>
    <xdr:pic>
      <xdr:nvPicPr>
        <xdr:cNvPr id="7" name="image2.png" title="Image">
          <a:extLst>
            <a:ext uri="{FF2B5EF4-FFF2-40B4-BE49-F238E27FC236}">
              <a16:creationId xmlns:a16="http://schemas.microsoft.com/office/drawing/2014/main" id="{72AF2FDF-362F-434B-89F7-B03FFD991876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710420" y="5054918"/>
          <a:ext cx="3524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292100</xdr:colOff>
      <xdr:row>25</xdr:row>
      <xdr:rowOff>66675</xdr:rowOff>
    </xdr:from>
    <xdr:ext cx="476250" cy="266700"/>
    <xdr:pic>
      <xdr:nvPicPr>
        <xdr:cNvPr id="8" name="image5.png" title="Image">
          <a:extLst>
            <a:ext uri="{FF2B5EF4-FFF2-40B4-BE49-F238E27FC236}">
              <a16:creationId xmlns:a16="http://schemas.microsoft.com/office/drawing/2014/main" id="{027BFA45-AA37-42AF-BB74-EF393D7DFBAA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0662920" y="5050155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292100</xdr:colOff>
      <xdr:row>25</xdr:row>
      <xdr:rowOff>66675</xdr:rowOff>
    </xdr:from>
    <xdr:ext cx="390525" cy="266700"/>
    <xdr:pic>
      <xdr:nvPicPr>
        <xdr:cNvPr id="9" name="image4.png" title="Image">
          <a:extLst>
            <a:ext uri="{FF2B5EF4-FFF2-40B4-BE49-F238E27FC236}">
              <a16:creationId xmlns:a16="http://schemas.microsoft.com/office/drawing/2014/main" id="{55A16B24-2C53-4697-8B90-6BA6969D428E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2644120" y="5050155"/>
          <a:ext cx="3905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292100</xdr:colOff>
      <xdr:row>25</xdr:row>
      <xdr:rowOff>66675</xdr:rowOff>
    </xdr:from>
    <xdr:ext cx="476250" cy="266700"/>
    <xdr:pic>
      <xdr:nvPicPr>
        <xdr:cNvPr id="10" name="image3.png" title="Image">
          <a:extLst>
            <a:ext uri="{FF2B5EF4-FFF2-40B4-BE49-F238E27FC236}">
              <a16:creationId xmlns:a16="http://schemas.microsoft.com/office/drawing/2014/main" id="{12623A86-D822-4420-BA34-3A2D3F89B9A9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625320" y="5050155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254000</xdr:colOff>
      <xdr:row>25</xdr:row>
      <xdr:rowOff>66675</xdr:rowOff>
    </xdr:from>
    <xdr:ext cx="428625" cy="266700"/>
    <xdr:pic>
      <xdr:nvPicPr>
        <xdr:cNvPr id="11" name="image1.png" title="Image">
          <a:extLst>
            <a:ext uri="{FF2B5EF4-FFF2-40B4-BE49-F238E27FC236}">
              <a16:creationId xmlns:a16="http://schemas.microsoft.com/office/drawing/2014/main" id="{8AEE79F6-8194-4743-9F56-B89FD2A33912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7559020" y="5050155"/>
          <a:ext cx="4286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342900</xdr:colOff>
      <xdr:row>2</xdr:row>
      <xdr:rowOff>74613</xdr:rowOff>
    </xdr:from>
    <xdr:ext cx="381000" cy="257175"/>
    <xdr:pic>
      <xdr:nvPicPr>
        <xdr:cNvPr id="12" name="image7.png" title="Image">
          <a:extLst>
            <a:ext uri="{FF2B5EF4-FFF2-40B4-BE49-F238E27FC236}">
              <a16:creationId xmlns:a16="http://schemas.microsoft.com/office/drawing/2014/main" id="{8527BD1A-D79E-4ADF-99CB-87A4D6A097AE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732520" y="455613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304800</xdr:colOff>
      <xdr:row>2</xdr:row>
      <xdr:rowOff>74613</xdr:rowOff>
    </xdr:from>
    <xdr:ext cx="352425" cy="257175"/>
    <xdr:pic>
      <xdr:nvPicPr>
        <xdr:cNvPr id="13" name="image2.png" title="Image">
          <a:extLst>
            <a:ext uri="{FF2B5EF4-FFF2-40B4-BE49-F238E27FC236}">
              <a16:creationId xmlns:a16="http://schemas.microsoft.com/office/drawing/2014/main" id="{74A92F2C-7F04-442C-808C-1937B62F75A2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685020" y="455613"/>
          <a:ext cx="3524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381000</xdr:colOff>
      <xdr:row>2</xdr:row>
      <xdr:rowOff>69850</xdr:rowOff>
    </xdr:from>
    <xdr:ext cx="323850" cy="266700"/>
    <xdr:pic>
      <xdr:nvPicPr>
        <xdr:cNvPr id="14" name="image9.png" title="Image">
          <a:extLst>
            <a:ext uri="{FF2B5EF4-FFF2-40B4-BE49-F238E27FC236}">
              <a16:creationId xmlns:a16="http://schemas.microsoft.com/office/drawing/2014/main" id="{F471150A-4A80-41BC-97EF-E69B721B4DB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08220" y="450850"/>
          <a:ext cx="3238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374650</xdr:colOff>
      <xdr:row>2</xdr:row>
      <xdr:rowOff>74613</xdr:rowOff>
    </xdr:from>
    <xdr:ext cx="171450" cy="257175"/>
    <xdr:pic>
      <xdr:nvPicPr>
        <xdr:cNvPr id="15" name="image8.png" title="Image">
          <a:extLst>
            <a:ext uri="{FF2B5EF4-FFF2-40B4-BE49-F238E27FC236}">
              <a16:creationId xmlns:a16="http://schemas.microsoft.com/office/drawing/2014/main" id="{326FAF43-F52B-4FAB-A9EA-107069F96F22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792470" y="455613"/>
          <a:ext cx="1714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349250</xdr:colOff>
      <xdr:row>2</xdr:row>
      <xdr:rowOff>74613</xdr:rowOff>
    </xdr:from>
    <xdr:ext cx="381000" cy="257175"/>
    <xdr:pic>
      <xdr:nvPicPr>
        <xdr:cNvPr id="16" name="image6.png" title="Image">
          <a:extLst>
            <a:ext uri="{FF2B5EF4-FFF2-40B4-BE49-F238E27FC236}">
              <a16:creationId xmlns:a16="http://schemas.microsoft.com/office/drawing/2014/main" id="{1C6943A2-1FC5-4673-B5B3-00B194155BFC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757670" y="455613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317500</xdr:colOff>
      <xdr:row>2</xdr:row>
      <xdr:rowOff>57150</xdr:rowOff>
    </xdr:from>
    <xdr:ext cx="476250" cy="266700"/>
    <xdr:pic>
      <xdr:nvPicPr>
        <xdr:cNvPr id="17" name="image5.png" title="Image">
          <a:extLst>
            <a:ext uri="{FF2B5EF4-FFF2-40B4-BE49-F238E27FC236}">
              <a16:creationId xmlns:a16="http://schemas.microsoft.com/office/drawing/2014/main" id="{AA0644DA-10C5-43D3-ACCF-DAB79ACAE424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0688320" y="438150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342900</xdr:colOff>
      <xdr:row>2</xdr:row>
      <xdr:rowOff>57150</xdr:rowOff>
    </xdr:from>
    <xdr:ext cx="390525" cy="266700"/>
    <xdr:pic>
      <xdr:nvPicPr>
        <xdr:cNvPr id="18" name="image4.png" title="Image">
          <a:extLst>
            <a:ext uri="{FF2B5EF4-FFF2-40B4-BE49-F238E27FC236}">
              <a16:creationId xmlns:a16="http://schemas.microsoft.com/office/drawing/2014/main" id="{4F2D3199-5FDB-4A57-BB8A-139D382FC39D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2694920" y="438150"/>
          <a:ext cx="3905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317500</xdr:colOff>
      <xdr:row>2</xdr:row>
      <xdr:rowOff>57150</xdr:rowOff>
    </xdr:from>
    <xdr:ext cx="476250" cy="266700"/>
    <xdr:pic>
      <xdr:nvPicPr>
        <xdr:cNvPr id="19" name="image3.png" title="Image">
          <a:extLst>
            <a:ext uri="{FF2B5EF4-FFF2-40B4-BE49-F238E27FC236}">
              <a16:creationId xmlns:a16="http://schemas.microsoft.com/office/drawing/2014/main" id="{BF877F4B-58F3-432A-98DB-D79C57411F7E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650720" y="438150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317500</xdr:colOff>
      <xdr:row>2</xdr:row>
      <xdr:rowOff>57150</xdr:rowOff>
    </xdr:from>
    <xdr:ext cx="428625" cy="266700"/>
    <xdr:pic>
      <xdr:nvPicPr>
        <xdr:cNvPr id="20" name="image1.png" title="Image">
          <a:extLst>
            <a:ext uri="{FF2B5EF4-FFF2-40B4-BE49-F238E27FC236}">
              <a16:creationId xmlns:a16="http://schemas.microsoft.com/office/drawing/2014/main" id="{B5A2F9E5-177D-4A29-B3B5-00B07AD316DB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7622520" y="438150"/>
          <a:ext cx="4286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841374</xdr:colOff>
      <xdr:row>2</xdr:row>
      <xdr:rowOff>0</xdr:rowOff>
    </xdr:from>
    <xdr:ext cx="5699126" cy="4635500"/>
    <xdr:graphicFrame macro="">
      <xdr:nvGraphicFramePr>
        <xdr:cNvPr id="21" name="Chart 2" title="Chart">
          <a:extLst>
            <a:ext uri="{FF2B5EF4-FFF2-40B4-BE49-F238E27FC236}">
              <a16:creationId xmlns:a16="http://schemas.microsoft.com/office/drawing/2014/main" id="{B34BCDE5-7478-4B89-98A0-FF3C2A0240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twoCellAnchor>
    <xdr:from>
      <xdr:col>26</xdr:col>
      <xdr:colOff>506940</xdr:colOff>
      <xdr:row>29</xdr:row>
      <xdr:rowOff>38100</xdr:rowOff>
    </xdr:from>
    <xdr:to>
      <xdr:col>32</xdr:col>
      <xdr:colOff>736600</xdr:colOff>
      <xdr:row>44</xdr:row>
      <xdr:rowOff>177801</xdr:rowOff>
    </xdr:to>
    <xdr:graphicFrame macro="">
      <xdr:nvGraphicFramePr>
        <xdr:cNvPr id="22" name="Chart 33">
          <a:extLst>
            <a:ext uri="{FF2B5EF4-FFF2-40B4-BE49-F238E27FC236}">
              <a16:creationId xmlns:a16="http://schemas.microsoft.com/office/drawing/2014/main" id="{1B6B37D6-4DDA-4FF8-9538-CE6788B0FE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arlitos\Downloads\LT_CausaEliminada.xlsx" TargetMode="External"/><Relationship Id="rId1" Type="http://schemas.openxmlformats.org/officeDocument/2006/relationships/externalLinkPath" Target="file:///C:\Users\Charlitos\Downloads\LT_CausaEliminad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edescolmex-my.sharepoint.com/personal/agpena_colmex_mx/Documents/DEP_22_26/2do%20semestre/Demograf&#237;a%20Matem&#225;tica/Tareas/4.%20TV-COVID-2020.xlsx" TargetMode="External"/><Relationship Id="rId1" Type="http://schemas.openxmlformats.org/officeDocument/2006/relationships/externalLinkPath" Target="https://redescolmex-my.sharepoint.com/personal/agpena_colmex_mx/Documents/DEP_22_26/7mo%20semestre/UNAM/Ejercicios/Excel/4.%20TV-COVID-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Coefficients"/>
      <sheetName val="Model LTs"/>
      <sheetName val="Decrementos Múltiples"/>
      <sheetName val="LT"/>
      <sheetName val="Homicidios"/>
      <sheetName val="Defunciones generales"/>
    </sheetNames>
    <sheetDataSet>
      <sheetData sheetId="0" refreshError="1"/>
      <sheetData sheetId="1">
        <row r="8">
          <cell r="AJ8">
            <v>1</v>
          </cell>
        </row>
        <row r="9">
          <cell r="AI9" t="str">
            <v>Princeton</v>
          </cell>
        </row>
        <row r="10">
          <cell r="AI10" t="str">
            <v>UN</v>
          </cell>
        </row>
        <row r="13">
          <cell r="AI13" t="str">
            <v>North</v>
          </cell>
        </row>
        <row r="14">
          <cell r="AI14" t="str">
            <v>South</v>
          </cell>
        </row>
        <row r="15">
          <cell r="AI15" t="str">
            <v>East</v>
          </cell>
        </row>
        <row r="16">
          <cell r="AI16" t="str">
            <v>West</v>
          </cell>
        </row>
        <row r="17">
          <cell r="AI17" t="str">
            <v>Latin America</v>
          </cell>
        </row>
        <row r="18">
          <cell r="AI18" t="str">
            <v>Chile</v>
          </cell>
        </row>
        <row r="19">
          <cell r="AI19" t="str">
            <v>South Asian</v>
          </cell>
        </row>
        <row r="20">
          <cell r="AI20" t="str">
            <v>Far East</v>
          </cell>
        </row>
        <row r="21">
          <cell r="AI21" t="str">
            <v>General</v>
          </cell>
        </row>
        <row r="24">
          <cell r="AI24" t="str">
            <v>Age of mother</v>
          </cell>
        </row>
        <row r="25">
          <cell r="AI25" t="str">
            <v>Duration since first birth</v>
          </cell>
        </row>
        <row r="26">
          <cell r="AI26" t="str">
            <v>Duration since marriage</v>
          </cell>
        </row>
        <row r="29">
          <cell r="AI29" t="str">
            <v>Male</v>
          </cell>
        </row>
        <row r="30">
          <cell r="AI30" t="str">
            <v>Female</v>
          </cell>
        </row>
        <row r="31">
          <cell r="AI31" t="str">
            <v>Both</v>
          </cell>
        </row>
      </sheetData>
      <sheetData sheetId="2" refreshError="1"/>
      <sheetData sheetId="3">
        <row r="3">
          <cell r="I3" t="str">
            <v>nqx</v>
          </cell>
          <cell r="M3" t="str">
            <v>nqx_i</v>
          </cell>
        </row>
        <row r="4">
          <cell r="B4">
            <v>0</v>
          </cell>
          <cell r="I4">
            <v>1.3946000000000014E-2</v>
          </cell>
          <cell r="M4">
            <v>1.3901237350577911E-2</v>
          </cell>
        </row>
        <row r="5">
          <cell r="B5">
            <v>1</v>
          </cell>
          <cell r="I5">
            <v>2.4039999999999617E-3</v>
          </cell>
          <cell r="M5">
            <v>2.3516553288746023E-3</v>
          </cell>
        </row>
        <row r="6">
          <cell r="B6">
            <v>5</v>
          </cell>
          <cell r="I6">
            <v>1.2339999999999574E-3</v>
          </cell>
          <cell r="M6">
            <v>1.1897219408725235E-3</v>
          </cell>
        </row>
        <row r="7">
          <cell r="B7">
            <v>10</v>
          </cell>
          <cell r="I7">
            <v>1.6850000000000476E-3</v>
          </cell>
          <cell r="M7">
            <v>1.5477598702997586E-3</v>
          </cell>
        </row>
        <row r="8">
          <cell r="B8">
            <v>15</v>
          </cell>
          <cell r="I8">
            <v>6.1419999999999808E-3</v>
          </cell>
          <cell r="M8">
            <v>4.1705505795028852E-3</v>
          </cell>
        </row>
        <row r="9">
          <cell r="B9">
            <v>20</v>
          </cell>
          <cell r="I9">
            <v>1.1511000000000049E-2</v>
          </cell>
          <cell r="M9">
            <v>6.8453050874192067E-3</v>
          </cell>
        </row>
        <row r="10">
          <cell r="B10">
            <v>25</v>
          </cell>
          <cell r="I10">
            <v>1.4440000000000008E-2</v>
          </cell>
          <cell r="M10">
            <v>8.6463203107169928E-3</v>
          </cell>
        </row>
        <row r="11">
          <cell r="B11">
            <v>30</v>
          </cell>
          <cell r="I11">
            <v>1.5490000000000004E-2</v>
          </cell>
          <cell r="M11">
            <v>9.9127605581336153E-3</v>
          </cell>
        </row>
        <row r="12">
          <cell r="B12">
            <v>35</v>
          </cell>
          <cell r="I12">
            <v>1.7660000000000009E-2</v>
          </cell>
          <cell r="M12">
            <v>1.2838105770011543E-2</v>
          </cell>
        </row>
        <row r="13">
          <cell r="B13">
            <v>40</v>
          </cell>
          <cell r="I13">
            <v>2.2155000000000036E-2</v>
          </cell>
          <cell r="M13">
            <v>1.7862874283550156E-2</v>
          </cell>
        </row>
        <row r="14">
          <cell r="B14">
            <v>45</v>
          </cell>
          <cell r="I14">
            <v>2.7981000000000034E-2</v>
          </cell>
          <cell r="M14">
            <v>2.4524184529211457E-2</v>
          </cell>
        </row>
        <row r="15">
          <cell r="B15">
            <v>50</v>
          </cell>
          <cell r="I15">
            <v>3.7038000000000015E-2</v>
          </cell>
          <cell r="M15">
            <v>3.4605471380265151E-2</v>
          </cell>
        </row>
        <row r="16">
          <cell r="B16">
            <v>55</v>
          </cell>
          <cell r="I16">
            <v>5.4463000000000039E-2</v>
          </cell>
          <cell r="M16">
            <v>5.2579407379676923E-2</v>
          </cell>
        </row>
        <row r="17">
          <cell r="B17">
            <v>60</v>
          </cell>
          <cell r="I17">
            <v>7.3455999999999966E-2</v>
          </cell>
          <cell r="M17">
            <v>7.2059397800988356E-2</v>
          </cell>
        </row>
        <row r="18">
          <cell r="B18">
            <v>65</v>
          </cell>
          <cell r="I18">
            <v>0.10043299999999999</v>
          </cell>
          <cell r="M18">
            <v>9.9408416880534256E-2</v>
          </cell>
        </row>
        <row r="19">
          <cell r="B19">
            <v>70</v>
          </cell>
          <cell r="I19">
            <v>0.14434199999999997</v>
          </cell>
          <cell r="M19">
            <v>0.14352355536102257</v>
          </cell>
        </row>
        <row r="20">
          <cell r="B20">
            <v>75</v>
          </cell>
          <cell r="I20">
            <v>0.20918300000000001</v>
          </cell>
          <cell r="M20">
            <v>0.20854883433630311</v>
          </cell>
        </row>
        <row r="21">
          <cell r="B21">
            <v>80</v>
          </cell>
          <cell r="I21">
            <v>0.31352200000000008</v>
          </cell>
          <cell r="M21">
            <v>0.31299759227638657</v>
          </cell>
        </row>
        <row r="22">
          <cell r="B22">
            <v>85</v>
          </cell>
          <cell r="I22">
            <v>1</v>
          </cell>
          <cell r="M22">
            <v>1</v>
          </cell>
        </row>
        <row r="26">
          <cell r="I26" t="str">
            <v>nqx</v>
          </cell>
          <cell r="M26" t="str">
            <v>nqx_i</v>
          </cell>
          <cell r="AA26" t="str">
            <v>Hombres</v>
          </cell>
          <cell r="AB26" t="str">
            <v>Mujeres</v>
          </cell>
        </row>
        <row r="27">
          <cell r="B27">
            <v>0</v>
          </cell>
          <cell r="I27">
            <v>1.1206000000000049E-2</v>
          </cell>
          <cell r="M27">
            <v>1.1167015642007505E-2</v>
          </cell>
          <cell r="Z27" t="str">
            <v>Sin homicidios</v>
          </cell>
          <cell r="AA27">
            <v>74.552208317072285</v>
          </cell>
          <cell r="AB27">
            <v>79.622016869646515</v>
          </cell>
        </row>
        <row r="28">
          <cell r="B28">
            <v>1</v>
          </cell>
          <cell r="I28">
            <v>2.0940000000000403E-3</v>
          </cell>
          <cell r="M28">
            <v>2.0446878691188219E-3</v>
          </cell>
          <cell r="Z28" t="str">
            <v>Con homicidios</v>
          </cell>
          <cell r="AA28">
            <v>73.03</v>
          </cell>
          <cell r="AB28">
            <v>79.37</v>
          </cell>
        </row>
        <row r="29">
          <cell r="B29">
            <v>5</v>
          </cell>
          <cell r="I29">
            <v>1.0639999999999539E-3</v>
          </cell>
          <cell r="M29">
            <v>1.0304687119264688E-3</v>
          </cell>
        </row>
        <row r="30">
          <cell r="B30">
            <v>10</v>
          </cell>
          <cell r="I30">
            <v>1.2100000000000444E-3</v>
          </cell>
          <cell r="M30">
            <v>1.1554623997390712E-3</v>
          </cell>
        </row>
        <row r="31">
          <cell r="B31">
            <v>15</v>
          </cell>
          <cell r="I31">
            <v>2.3159999999999847E-3</v>
          </cell>
          <cell r="M31">
            <v>1.9527953968966338E-3</v>
          </cell>
        </row>
        <row r="32">
          <cell r="B32">
            <v>20</v>
          </cell>
          <cell r="I32">
            <v>3.0310000000000059E-3</v>
          </cell>
          <cell r="M32">
            <v>2.4402962837497544E-3</v>
          </cell>
        </row>
        <row r="33">
          <cell r="B33">
            <v>25</v>
          </cell>
          <cell r="I33">
            <v>3.6869999999999958E-3</v>
          </cell>
          <cell r="M33">
            <v>3.0911314115840138E-3</v>
          </cell>
        </row>
        <row r="34">
          <cell r="B34">
            <v>30</v>
          </cell>
          <cell r="I34">
            <v>4.438000000000053E-3</v>
          </cell>
          <cell r="M34">
            <v>3.9004742394230796E-3</v>
          </cell>
        </row>
        <row r="35">
          <cell r="B35">
            <v>35</v>
          </cell>
          <cell r="I35">
            <v>5.9169999999999501E-3</v>
          </cell>
          <cell r="M35">
            <v>5.482114678662664E-3</v>
          </cell>
        </row>
        <row r="36">
          <cell r="B36">
            <v>40</v>
          </cell>
          <cell r="I36">
            <v>8.7890000000000468E-3</v>
          </cell>
          <cell r="M36">
            <v>8.3856074005131953E-3</v>
          </cell>
        </row>
        <row r="37">
          <cell r="B37">
            <v>45</v>
          </cell>
          <cell r="I37">
            <v>1.3494000000000006E-2</v>
          </cell>
          <cell r="M37">
            <v>1.3201582867820472E-2</v>
          </cell>
        </row>
        <row r="38">
          <cell r="B38">
            <v>50</v>
          </cell>
          <cell r="I38">
            <v>2.0159000000000038E-2</v>
          </cell>
          <cell r="M38">
            <v>1.9931234105208695E-2</v>
          </cell>
        </row>
        <row r="39">
          <cell r="B39">
            <v>55</v>
          </cell>
          <cell r="I39">
            <v>3.3218999999999999E-2</v>
          </cell>
          <cell r="M39">
            <v>3.2994404605884875E-2</v>
          </cell>
        </row>
        <row r="40">
          <cell r="B40">
            <v>60</v>
          </cell>
          <cell r="I40">
            <v>4.8167999999999989E-2</v>
          </cell>
          <cell r="M40">
            <v>4.8010746034178986E-2</v>
          </cell>
        </row>
        <row r="41">
          <cell r="B41">
            <v>65</v>
          </cell>
          <cell r="I41">
            <v>7.1137000000000006E-2</v>
          </cell>
          <cell r="M41">
            <v>7.0978081822594685E-2</v>
          </cell>
        </row>
        <row r="42">
          <cell r="B42">
            <v>70</v>
          </cell>
          <cell r="I42">
            <v>0.10592199999999996</v>
          </cell>
          <cell r="M42">
            <v>0.1057821389483653</v>
          </cell>
        </row>
        <row r="43">
          <cell r="B43">
            <v>75</v>
          </cell>
          <cell r="I43">
            <v>0.16873800000000005</v>
          </cell>
          <cell r="M43">
            <v>0.16858435010252082</v>
          </cell>
        </row>
        <row r="44">
          <cell r="B44">
            <v>80</v>
          </cell>
          <cell r="I44">
            <v>0.26314300000000002</v>
          </cell>
          <cell r="M44">
            <v>0.26299519383324121</v>
          </cell>
        </row>
        <row r="45">
          <cell r="B45">
            <v>85</v>
          </cell>
          <cell r="I45">
            <v>1</v>
          </cell>
          <cell r="M45">
            <v>1</v>
          </cell>
        </row>
      </sheetData>
      <sheetData sheetId="4">
        <row r="2">
          <cell r="G2">
            <v>0.09</v>
          </cell>
        </row>
      </sheetData>
      <sheetData sheetId="5">
        <row r="553">
          <cell r="D553">
            <v>42.253106646137397</v>
          </cell>
        </row>
      </sheetData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D"/>
      <sheetName val="COVID"/>
      <sheetName val="EQ"/>
      <sheetName val="Defunciones"/>
      <sheetName val="TV"/>
    </sheetNames>
    <sheetDataSet>
      <sheetData sheetId="0"/>
      <sheetData sheetId="1">
        <row r="9">
          <cell r="B9">
            <v>208</v>
          </cell>
        </row>
      </sheetData>
      <sheetData sheetId="2"/>
      <sheetData sheetId="3">
        <row r="4">
          <cell r="D4">
            <v>19352</v>
          </cell>
        </row>
      </sheetData>
      <sheetData sheetId="4">
        <row r="4">
          <cell r="G4">
            <v>0.1</v>
          </cell>
        </row>
        <row r="29">
          <cell r="J29">
            <v>100000</v>
          </cell>
          <cell r="M29">
            <v>7544359.8487192011</v>
          </cell>
        </row>
        <row r="47">
          <cell r="M47">
            <v>211789.8627602226</v>
          </cell>
        </row>
        <row r="53">
          <cell r="J53">
            <v>100000</v>
          </cell>
          <cell r="M53">
            <v>6731814.3256840678</v>
          </cell>
        </row>
        <row r="71">
          <cell r="M71">
            <v>91674.680789131889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4E733-2F1B-483D-9E82-B8013A07810D}">
  <sheetPr>
    <tabColor rgb="FF0070C0"/>
    <outlinePr summaryBelow="0" summaryRight="0"/>
  </sheetPr>
  <dimension ref="B2:AB45"/>
  <sheetViews>
    <sheetView showGridLines="0" tabSelected="1" zoomScaleNormal="60" workbookViewId="0">
      <selection activeCell="X36" sqref="X36"/>
    </sheetView>
  </sheetViews>
  <sheetFormatPr baseColWidth="10" defaultColWidth="14.44140625" defaultRowHeight="15" customHeight="1" x14ac:dyDescent="0.3"/>
  <cols>
    <col min="1" max="1" width="6.77734375" customWidth="1"/>
    <col min="21" max="21" width="3.33203125" customWidth="1"/>
    <col min="22" max="23" width="16.44140625" hidden="1" customWidth="1"/>
  </cols>
  <sheetData>
    <row r="2" spans="2:23" ht="15" customHeight="1" x14ac:dyDescent="0.3">
      <c r="B2" s="2" t="s">
        <v>19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2:23" ht="33" customHeight="1" x14ac:dyDescent="0.3">
      <c r="B3" s="3" t="s">
        <v>20</v>
      </c>
      <c r="C3" s="4" t="s">
        <v>21</v>
      </c>
      <c r="D3" s="4" t="s">
        <v>22</v>
      </c>
      <c r="E3" s="4" t="s">
        <v>23</v>
      </c>
      <c r="F3" s="5"/>
      <c r="G3" s="6"/>
      <c r="H3" s="6"/>
      <c r="I3" s="6" t="s">
        <v>24</v>
      </c>
      <c r="J3" s="6"/>
      <c r="K3" s="7" t="s">
        <v>25</v>
      </c>
      <c r="L3" s="6"/>
      <c r="M3" s="6" t="s">
        <v>26</v>
      </c>
      <c r="N3" s="6"/>
      <c r="O3" s="6" t="s">
        <v>27</v>
      </c>
      <c r="P3" s="6"/>
      <c r="Q3" s="6" t="s">
        <v>28</v>
      </c>
      <c r="R3" s="6" t="s">
        <v>29</v>
      </c>
      <c r="S3" s="7" t="s">
        <v>30</v>
      </c>
      <c r="T3" s="8" t="s">
        <v>31</v>
      </c>
    </row>
    <row r="4" spans="2:23" ht="15" customHeight="1" x14ac:dyDescent="0.3">
      <c r="B4" s="9">
        <v>0</v>
      </c>
      <c r="C4" s="10">
        <v>1</v>
      </c>
      <c r="D4" s="11">
        <f>'Defunciones generales'!D21</f>
        <v>374.294162220141</v>
      </c>
      <c r="E4" s="11">
        <f>Homicidios!D1218</f>
        <v>2</v>
      </c>
      <c r="F4" s="12">
        <f t="shared" ref="F4:F22" si="0">(D4-E4)/D4</f>
        <v>0.9946566091543162</v>
      </c>
      <c r="G4" s="13">
        <f>LT!H21</f>
        <v>100000</v>
      </c>
      <c r="H4" s="14">
        <f>1-LT!F21</f>
        <v>0.97716400000000003</v>
      </c>
      <c r="I4" s="15">
        <f t="shared" ref="I4:I22" si="1">1-H4</f>
        <v>2.2835999999999967E-2</v>
      </c>
      <c r="J4" s="16">
        <f>LT!G2</f>
        <v>0.12</v>
      </c>
      <c r="K4" s="17">
        <f>LT!L21</f>
        <v>64.930000000000007</v>
      </c>
      <c r="L4" s="15">
        <f>H4^F4</f>
        <v>0.97728462514635916</v>
      </c>
      <c r="M4" s="18">
        <f t="shared" ref="M4:M22" si="2">1-L4</f>
        <v>2.2715374853640835E-2</v>
      </c>
      <c r="N4" s="19">
        <v>100000</v>
      </c>
      <c r="O4" s="20">
        <f t="shared" ref="O4:O22" si="3">N4*M4</f>
        <v>2271.5374853640833</v>
      </c>
      <c r="P4" s="20">
        <f>C4+(F4*(I4/M4)*(J4-C4))</f>
        <v>0.12005410184783094</v>
      </c>
      <c r="Q4" s="19">
        <f t="shared" ref="Q4:Q20" si="4">(C4*N5)+(P4*O4)</f>
        <v>98001.169907254982</v>
      </c>
      <c r="R4" s="19">
        <f t="shared" ref="R4:R21" si="5">R5+Q4</f>
        <v>6513113.6674147863</v>
      </c>
      <c r="S4" s="21">
        <f t="shared" ref="S4:S22" si="6">R4/N4</f>
        <v>65.131136674147868</v>
      </c>
      <c r="T4" s="22">
        <f t="shared" ref="T4:T22" si="7">S4-K4</f>
        <v>0.20113667414786107</v>
      </c>
    </row>
    <row r="5" spans="2:23" ht="15" customHeight="1" x14ac:dyDescent="0.3">
      <c r="B5" s="9">
        <v>1</v>
      </c>
      <c r="C5" s="10">
        <v>4</v>
      </c>
      <c r="D5" s="11">
        <f>'Defunciones generales'!D22</f>
        <v>68.043431525733894</v>
      </c>
      <c r="E5" s="11">
        <f>Homicidios!D1219</f>
        <v>0</v>
      </c>
      <c r="F5" s="12">
        <f t="shared" si="0"/>
        <v>1</v>
      </c>
      <c r="G5" s="13">
        <f>LT!H22</f>
        <v>97716</v>
      </c>
      <c r="H5" s="14">
        <f>1-LT!F22</f>
        <v>0.99629100000000004</v>
      </c>
      <c r="I5" s="15">
        <f t="shared" si="1"/>
        <v>3.7089999999999623E-3</v>
      </c>
      <c r="J5" s="16">
        <f>LT!G3</f>
        <v>1.57</v>
      </c>
      <c r="K5" s="17">
        <f>LT!L22</f>
        <v>65.44</v>
      </c>
      <c r="L5" s="15">
        <f>H5^F5</f>
        <v>0.99629100000000004</v>
      </c>
      <c r="M5" s="18">
        <f t="shared" si="2"/>
        <v>3.7089999999999623E-3</v>
      </c>
      <c r="N5" s="19">
        <f t="shared" ref="N5:N22" si="8">N4*L4</f>
        <v>97728.462514635918</v>
      </c>
      <c r="O5" s="20">
        <f t="shared" si="3"/>
        <v>362.47486746678095</v>
      </c>
      <c r="P5" s="20">
        <f>C5+(F5*(I5/M5)*(J5-C5))</f>
        <v>1.5700000000000003</v>
      </c>
      <c r="Q5" s="19">
        <f t="shared" si="4"/>
        <v>390033.03613059939</v>
      </c>
      <c r="R5" s="19">
        <f t="shared" si="5"/>
        <v>6415112.4975075312</v>
      </c>
      <c r="S5" s="12">
        <f t="shared" si="6"/>
        <v>65.642212436799539</v>
      </c>
      <c r="T5" s="22">
        <f t="shared" si="7"/>
        <v>0.20221243679954171</v>
      </c>
      <c r="V5" s="23" t="s">
        <v>32</v>
      </c>
      <c r="W5" s="24"/>
    </row>
    <row r="6" spans="2:23" ht="15" customHeight="1" x14ac:dyDescent="0.3">
      <c r="B6" s="9">
        <v>5</v>
      </c>
      <c r="C6" s="10">
        <v>5</v>
      </c>
      <c r="D6" s="11">
        <f>'Defunciones generales'!D23</f>
        <v>36.019179555289497</v>
      </c>
      <c r="E6" s="11">
        <f>Homicidios!D1220</f>
        <v>0</v>
      </c>
      <c r="F6" s="12">
        <f t="shared" si="0"/>
        <v>1</v>
      </c>
      <c r="G6" s="13">
        <f>LT!H23</f>
        <v>97354</v>
      </c>
      <c r="H6" s="14">
        <f>1-LT!F23</f>
        <v>0.998085</v>
      </c>
      <c r="I6" s="15">
        <f t="shared" si="1"/>
        <v>1.915E-3</v>
      </c>
      <c r="J6" s="16">
        <f>LT!G4</f>
        <v>2.5</v>
      </c>
      <c r="K6" s="17">
        <f>LT!L23</f>
        <v>61.68</v>
      </c>
      <c r="L6" s="15">
        <f t="shared" ref="L6:L22" si="9">H6^F6</f>
        <v>0.998085</v>
      </c>
      <c r="M6" s="18">
        <f t="shared" si="2"/>
        <v>1.915E-3</v>
      </c>
      <c r="N6" s="19">
        <f t="shared" si="8"/>
        <v>97365.987647169139</v>
      </c>
      <c r="O6" s="20">
        <f t="shared" si="3"/>
        <v>186.45586634432891</v>
      </c>
      <c r="P6" s="20">
        <f>C6+(F6*(I6/M6)*(J6-C6))</f>
        <v>2.5</v>
      </c>
      <c r="Q6" s="19">
        <f t="shared" si="4"/>
        <v>486363.79856998485</v>
      </c>
      <c r="R6" s="19">
        <f t="shared" si="5"/>
        <v>6025079.4613769315</v>
      </c>
      <c r="S6" s="12">
        <f t="shared" si="6"/>
        <v>61.880740975076087</v>
      </c>
      <c r="T6" s="22">
        <f t="shared" si="7"/>
        <v>0.20074097507608712</v>
      </c>
      <c r="V6" s="25"/>
      <c r="W6" s="26"/>
    </row>
    <row r="7" spans="2:23" ht="15" customHeight="1" x14ac:dyDescent="0.3">
      <c r="B7" s="9">
        <v>10</v>
      </c>
      <c r="C7" s="10">
        <v>5</v>
      </c>
      <c r="D7" s="11">
        <f>'Defunciones generales'!D24</f>
        <v>47.030129387955803</v>
      </c>
      <c r="E7" s="11">
        <f>Homicidios!D1221</f>
        <v>0</v>
      </c>
      <c r="F7" s="12">
        <f t="shared" si="0"/>
        <v>1</v>
      </c>
      <c r="G7" s="13">
        <f>LT!H24</f>
        <v>97168</v>
      </c>
      <c r="H7" s="14">
        <f>1-LT!F24</f>
        <v>0.99754900000000002</v>
      </c>
      <c r="I7" s="15">
        <f t="shared" si="1"/>
        <v>2.450999999999981E-3</v>
      </c>
      <c r="J7" s="16">
        <f>LT!G5</f>
        <v>2.5</v>
      </c>
      <c r="K7" s="17">
        <f>LT!L24</f>
        <v>56.79</v>
      </c>
      <c r="L7" s="15">
        <f t="shared" si="9"/>
        <v>0.99754900000000002</v>
      </c>
      <c r="M7" s="18">
        <f t="shared" si="2"/>
        <v>2.450999999999981E-3</v>
      </c>
      <c r="N7" s="19">
        <f t="shared" si="8"/>
        <v>97179.531780824807</v>
      </c>
      <c r="O7" s="20">
        <f t="shared" si="3"/>
        <v>238.18703239479976</v>
      </c>
      <c r="P7" s="15">
        <f t="shared" ref="P7:P20" si="10">(((-5/24)*O6)+((2.5)*O7)+((5/24)*O8))/O7</f>
        <v>2.8898415282950256</v>
      </c>
      <c r="Q7" s="19">
        <f t="shared" si="4"/>
        <v>485395.04651986592</v>
      </c>
      <c r="R7" s="19">
        <f t="shared" si="5"/>
        <v>5538715.6628069468</v>
      </c>
      <c r="S7" s="12">
        <f t="shared" si="6"/>
        <v>56.994673274396561</v>
      </c>
      <c r="T7" s="22">
        <f t="shared" si="7"/>
        <v>0.20467327439656202</v>
      </c>
      <c r="V7" s="27"/>
      <c r="W7" s="28"/>
    </row>
    <row r="8" spans="2:23" ht="15" customHeight="1" x14ac:dyDescent="0.3">
      <c r="B8" s="9">
        <v>15</v>
      </c>
      <c r="C8" s="10">
        <v>5</v>
      </c>
      <c r="D8" s="11">
        <f>'Defunciones generales'!D25</f>
        <v>132.07314378787399</v>
      </c>
      <c r="E8" s="11">
        <f>Homicidios!D1222</f>
        <v>2</v>
      </c>
      <c r="F8" s="12">
        <f t="shared" si="0"/>
        <v>0.98485687595040328</v>
      </c>
      <c r="G8" s="13">
        <f>LT!H25</f>
        <v>96929</v>
      </c>
      <c r="H8" s="14">
        <f>1-LT!F25</f>
        <v>0.99337900000000001</v>
      </c>
      <c r="I8" s="15">
        <f t="shared" si="1"/>
        <v>6.620999999999988E-3</v>
      </c>
      <c r="J8" s="16">
        <f>LT!G6</f>
        <v>2.5</v>
      </c>
      <c r="K8" s="17">
        <f>LT!L25</f>
        <v>51.93</v>
      </c>
      <c r="L8" s="15">
        <f t="shared" si="9"/>
        <v>0.99347893499638062</v>
      </c>
      <c r="M8" s="18">
        <f t="shared" si="2"/>
        <v>6.5210650036193751E-3</v>
      </c>
      <c r="N8" s="19">
        <f t="shared" si="8"/>
        <v>96941.344748430012</v>
      </c>
      <c r="O8" s="20">
        <f t="shared" si="3"/>
        <v>632.16081064278785</v>
      </c>
      <c r="P8" s="15">
        <f t="shared" si="10"/>
        <v>2.8018370692868806</v>
      </c>
      <c r="Q8" s="19">
        <f t="shared" si="4"/>
        <v>483317.13128194551</v>
      </c>
      <c r="R8" s="19">
        <f t="shared" si="5"/>
        <v>5053320.6162870806</v>
      </c>
      <c r="S8" s="12">
        <f t="shared" si="6"/>
        <v>52.127610045031076</v>
      </c>
      <c r="T8" s="22">
        <f t="shared" si="7"/>
        <v>0.19761004503107671</v>
      </c>
      <c r="V8" s="29" t="s">
        <v>33</v>
      </c>
      <c r="W8" s="29" t="s">
        <v>34</v>
      </c>
    </row>
    <row r="9" spans="2:23" ht="15" customHeight="1" x14ac:dyDescent="0.3">
      <c r="B9" s="9">
        <v>20</v>
      </c>
      <c r="C9" s="10">
        <v>5</v>
      </c>
      <c r="D9" s="11">
        <f>'Defunciones generales'!D26</f>
        <v>240.14853454855401</v>
      </c>
      <c r="E9" s="11">
        <f>Homicidios!D1223</f>
        <v>0</v>
      </c>
      <c r="F9" s="12">
        <f t="shared" si="0"/>
        <v>1</v>
      </c>
      <c r="G9" s="13">
        <f>LT!H26</f>
        <v>96288</v>
      </c>
      <c r="H9" s="14">
        <f>1-LT!F26</f>
        <v>0.98801700000000003</v>
      </c>
      <c r="I9" s="15">
        <f t="shared" si="1"/>
        <v>1.1982999999999966E-2</v>
      </c>
      <c r="J9" s="16">
        <f>LT!G7</f>
        <v>2.5</v>
      </c>
      <c r="K9" s="17">
        <f>LT!L26</f>
        <v>47.26</v>
      </c>
      <c r="L9" s="15">
        <f t="shared" si="9"/>
        <v>0.98801700000000003</v>
      </c>
      <c r="M9" s="18">
        <f t="shared" si="2"/>
        <v>1.1982999999999966E-2</v>
      </c>
      <c r="N9" s="19">
        <f t="shared" si="8"/>
        <v>96309.183937787224</v>
      </c>
      <c r="O9" s="20">
        <f t="shared" si="3"/>
        <v>1154.072951126501</v>
      </c>
      <c r="P9" s="15">
        <f t="shared" si="10"/>
        <v>2.6478143242010179</v>
      </c>
      <c r="Q9" s="19">
        <f t="shared" si="4"/>
        <v>478831.32582446933</v>
      </c>
      <c r="R9" s="19">
        <f t="shared" si="5"/>
        <v>4570003.4850051347</v>
      </c>
      <c r="S9" s="12">
        <f t="shared" si="6"/>
        <v>47.451377928373027</v>
      </c>
      <c r="T9" s="22">
        <f t="shared" si="7"/>
        <v>0.19137792837302925</v>
      </c>
      <c r="V9" s="30">
        <f>([2]TV!M53-[2]TV!M71)/[2]TV!J53</f>
        <v>66.401396448949356</v>
      </c>
      <c r="W9" s="30">
        <f>(R4-R22)/N4</f>
        <v>64.778306006606869</v>
      </c>
    </row>
    <row r="10" spans="2:23" ht="15" customHeight="1" x14ac:dyDescent="0.3">
      <c r="B10" s="9">
        <v>25</v>
      </c>
      <c r="C10" s="10">
        <v>5</v>
      </c>
      <c r="D10" s="11">
        <f>'Defunciones generales'!D27</f>
        <v>301.19285633734</v>
      </c>
      <c r="E10" s="11">
        <f>Homicidios!D1224</f>
        <v>14</v>
      </c>
      <c r="F10" s="12">
        <f t="shared" si="0"/>
        <v>0.9535181538823756</v>
      </c>
      <c r="G10" s="13">
        <f>LT!H27</f>
        <v>95134</v>
      </c>
      <c r="H10" s="14">
        <f>1-LT!F27</f>
        <v>0.98401399999999994</v>
      </c>
      <c r="I10" s="15">
        <f t="shared" si="1"/>
        <v>1.5986000000000056E-2</v>
      </c>
      <c r="J10" s="16">
        <f>LT!G8</f>
        <v>2.5</v>
      </c>
      <c r="K10" s="17">
        <f>LT!L27</f>
        <v>42.8</v>
      </c>
      <c r="L10" s="15">
        <f t="shared" si="9"/>
        <v>0.98475136375046113</v>
      </c>
      <c r="M10" s="18">
        <f t="shared" si="2"/>
        <v>1.5248636249538872E-2</v>
      </c>
      <c r="N10" s="19">
        <f t="shared" si="8"/>
        <v>95155.110986660729</v>
      </c>
      <c r="O10" s="20">
        <f t="shared" si="3"/>
        <v>1450.9856747200893</v>
      </c>
      <c r="P10" s="15">
        <f t="shared" si="10"/>
        <v>2.5975696393482934</v>
      </c>
      <c r="Q10" s="19">
        <f t="shared" si="4"/>
        <v>472289.66289548547</v>
      </c>
      <c r="R10" s="19">
        <f t="shared" si="5"/>
        <v>4091172.1591806654</v>
      </c>
      <c r="S10" s="12">
        <f t="shared" si="6"/>
        <v>42.994770504278897</v>
      </c>
      <c r="T10" s="22">
        <f t="shared" si="7"/>
        <v>0.19477050427889964</v>
      </c>
      <c r="V10" s="31" t="s">
        <v>35</v>
      </c>
      <c r="W10" s="30">
        <f>W9-V9</f>
        <v>-1.6230904423424874</v>
      </c>
    </row>
    <row r="11" spans="2:23" ht="15" customHeight="1" x14ac:dyDescent="0.3">
      <c r="B11" s="9">
        <v>30</v>
      </c>
      <c r="C11" s="10">
        <v>5</v>
      </c>
      <c r="D11" s="11">
        <f>'Defunciones generales'!D28</f>
        <v>364.23558150248698</v>
      </c>
      <c r="E11" s="11">
        <f>Homicidios!D1225</f>
        <v>16</v>
      </c>
      <c r="F11" s="12">
        <f t="shared" si="0"/>
        <v>0.95607238608046108</v>
      </c>
      <c r="G11" s="13">
        <f>LT!H28</f>
        <v>93613</v>
      </c>
      <c r="H11" s="14">
        <f>1-LT!F28</f>
        <v>0.97954200000000002</v>
      </c>
      <c r="I11" s="15">
        <f t="shared" si="1"/>
        <v>2.0457999999999976E-2</v>
      </c>
      <c r="J11" s="16">
        <f>LT!G9</f>
        <v>2.5</v>
      </c>
      <c r="K11" s="17">
        <f>LT!L28</f>
        <v>38.450000000000003</v>
      </c>
      <c r="L11" s="15">
        <f t="shared" si="9"/>
        <v>0.98043181919541011</v>
      </c>
      <c r="M11" s="18">
        <f t="shared" si="2"/>
        <v>1.9568180804589885E-2</v>
      </c>
      <c r="N11" s="19">
        <f t="shared" si="8"/>
        <v>93704.125311940646</v>
      </c>
      <c r="O11" s="20">
        <f t="shared" si="3"/>
        <v>1833.6192662400022</v>
      </c>
      <c r="P11" s="15">
        <f t="shared" si="10"/>
        <v>2.6225401779910649</v>
      </c>
      <c r="Q11" s="19">
        <f t="shared" si="4"/>
        <v>464161.27042535611</v>
      </c>
      <c r="R11" s="19">
        <f t="shared" si="5"/>
        <v>3618882.4962851801</v>
      </c>
      <c r="S11" s="12">
        <f t="shared" si="6"/>
        <v>38.620311370902137</v>
      </c>
      <c r="T11" s="22">
        <f t="shared" si="7"/>
        <v>0.17031137090213377</v>
      </c>
    </row>
    <row r="12" spans="2:23" ht="15" customHeight="1" x14ac:dyDescent="0.3">
      <c r="B12" s="9">
        <v>35</v>
      </c>
      <c r="C12" s="10">
        <v>5</v>
      </c>
      <c r="D12" s="11">
        <f>'Defunciones generales'!D29</f>
        <v>478.30148447255999</v>
      </c>
      <c r="E12" s="11">
        <f>Homicidios!D1226</f>
        <v>10</v>
      </c>
      <c r="F12" s="12">
        <f t="shared" si="0"/>
        <v>0.97909268458360033</v>
      </c>
      <c r="G12" s="13">
        <f>LT!H29</f>
        <v>91698</v>
      </c>
      <c r="H12" s="14">
        <f>1-LT!F29</f>
        <v>0.97188699999999995</v>
      </c>
      <c r="I12" s="15">
        <f t="shared" si="1"/>
        <v>2.8113000000000055E-2</v>
      </c>
      <c r="J12" s="16">
        <f>LT!G10</f>
        <v>2.5</v>
      </c>
      <c r="K12" s="17">
        <f>LT!L29</f>
        <v>34.200000000000003</v>
      </c>
      <c r="L12" s="15">
        <f t="shared" si="9"/>
        <v>0.97246659963453674</v>
      </c>
      <c r="M12" s="18">
        <f t="shared" si="2"/>
        <v>2.7533400365463256E-2</v>
      </c>
      <c r="N12" s="19">
        <f t="shared" si="8"/>
        <v>91870.506045700648</v>
      </c>
      <c r="O12" s="20">
        <f t="shared" si="3"/>
        <v>2529.5074247339885</v>
      </c>
      <c r="P12" s="15">
        <f t="shared" si="10"/>
        <v>2.6065315428301692</v>
      </c>
      <c r="Q12" s="19">
        <f t="shared" si="4"/>
        <v>453298.23399522557</v>
      </c>
      <c r="R12" s="19">
        <f t="shared" si="5"/>
        <v>3154721.2258598241</v>
      </c>
      <c r="S12" s="12">
        <f t="shared" si="6"/>
        <v>34.338781417950607</v>
      </c>
      <c r="T12" s="22">
        <f t="shared" si="7"/>
        <v>0.13878141795060372</v>
      </c>
    </row>
    <row r="13" spans="2:23" ht="15" customHeight="1" x14ac:dyDescent="0.3">
      <c r="B13" s="9">
        <v>40</v>
      </c>
      <c r="C13" s="10">
        <v>5</v>
      </c>
      <c r="D13" s="11">
        <f>'Defunciones generales'!D30</f>
        <v>548.33016519953003</v>
      </c>
      <c r="E13" s="11">
        <f>Homicidios!D1227</f>
        <v>6</v>
      </c>
      <c r="F13" s="12">
        <f t="shared" si="0"/>
        <v>0.9890576875379149</v>
      </c>
      <c r="G13" s="13">
        <f>LT!H30</f>
        <v>89120</v>
      </c>
      <c r="H13" s="14">
        <f>1-LT!F30</f>
        <v>0.96461799999999998</v>
      </c>
      <c r="I13" s="15">
        <f t="shared" si="1"/>
        <v>3.5382000000000025E-2</v>
      </c>
      <c r="J13" s="16">
        <f>LT!G11</f>
        <v>2.5</v>
      </c>
      <c r="K13" s="17">
        <f>LT!L30</f>
        <v>30.12</v>
      </c>
      <c r="L13" s="15">
        <f t="shared" si="9"/>
        <v>0.96499830434421541</v>
      </c>
      <c r="M13" s="18">
        <f t="shared" si="2"/>
        <v>3.5001695655784593E-2</v>
      </c>
      <c r="N13" s="19">
        <f t="shared" si="8"/>
        <v>89340.998620966653</v>
      </c>
      <c r="O13" s="20">
        <f t="shared" si="3"/>
        <v>3127.0864433149459</v>
      </c>
      <c r="P13" s="15">
        <f t="shared" si="10"/>
        <v>2.5997216576862723</v>
      </c>
      <c r="Q13" s="19">
        <f t="shared" si="4"/>
        <v>439199.11524040159</v>
      </c>
      <c r="R13" s="19">
        <f t="shared" si="5"/>
        <v>2701422.9918645984</v>
      </c>
      <c r="S13" s="12">
        <f t="shared" si="6"/>
        <v>30.237215092317371</v>
      </c>
      <c r="T13" s="22">
        <f t="shared" si="7"/>
        <v>0.1172150923173696</v>
      </c>
    </row>
    <row r="14" spans="2:23" ht="15" customHeight="1" x14ac:dyDescent="0.3">
      <c r="B14" s="9">
        <v>45</v>
      </c>
      <c r="C14" s="10">
        <v>5</v>
      </c>
      <c r="D14" s="11">
        <f>'Defunciones generales'!D31</f>
        <v>671.429285472532</v>
      </c>
      <c r="E14" s="11">
        <f>Homicidios!D1228</f>
        <v>16</v>
      </c>
      <c r="F14" s="12">
        <f t="shared" si="0"/>
        <v>0.97617023810818782</v>
      </c>
      <c r="G14" s="13">
        <f>LT!H31</f>
        <v>85967</v>
      </c>
      <c r="H14" s="14">
        <f>1-LT!F31</f>
        <v>0.95218599999999998</v>
      </c>
      <c r="I14" s="15">
        <f t="shared" si="1"/>
        <v>4.7814000000000023E-2</v>
      </c>
      <c r="J14" s="16">
        <f>LT!G12</f>
        <v>2.5</v>
      </c>
      <c r="K14" s="17">
        <f>LT!L31</f>
        <v>26.13</v>
      </c>
      <c r="L14" s="15">
        <f t="shared" si="9"/>
        <v>0.95329836109345767</v>
      </c>
      <c r="M14" s="18">
        <f t="shared" si="2"/>
        <v>4.6701638906542331E-2</v>
      </c>
      <c r="N14" s="19">
        <f t="shared" si="8"/>
        <v>86213.912177651713</v>
      </c>
      <c r="O14" s="20">
        <f t="shared" si="3"/>
        <v>4026.3309952410427</v>
      </c>
      <c r="P14" s="15">
        <f t="shared" si="10"/>
        <v>2.6206579401292913</v>
      </c>
      <c r="Q14" s="19">
        <f t="shared" si="4"/>
        <v>421489.54220432043</v>
      </c>
      <c r="R14" s="19">
        <f t="shared" si="5"/>
        <v>2262223.8766241968</v>
      </c>
      <c r="S14" s="12">
        <f t="shared" si="6"/>
        <v>26.239661552101659</v>
      </c>
      <c r="T14" s="22">
        <f t="shared" si="7"/>
        <v>0.10966155210165951</v>
      </c>
    </row>
    <row r="15" spans="2:23" ht="15" customHeight="1" x14ac:dyDescent="0.3">
      <c r="B15" s="9">
        <v>50</v>
      </c>
      <c r="C15" s="10">
        <v>5</v>
      </c>
      <c r="D15" s="11">
        <f>'Defunciones generales'!D32</f>
        <v>786.47465886809903</v>
      </c>
      <c r="E15" s="11">
        <f>Homicidios!D1229</f>
        <v>8</v>
      </c>
      <c r="F15" s="12">
        <f t="shared" si="0"/>
        <v>0.98982802572238793</v>
      </c>
      <c r="G15" s="13">
        <f>LT!H32</f>
        <v>81856</v>
      </c>
      <c r="H15" s="14">
        <f>1-LT!F32</f>
        <v>0.93291999999999997</v>
      </c>
      <c r="I15" s="15">
        <f t="shared" si="1"/>
        <v>6.7080000000000028E-2</v>
      </c>
      <c r="J15" s="16">
        <f>LT!G13</f>
        <v>2.5</v>
      </c>
      <c r="K15" s="17">
        <f>LT!L32</f>
        <v>22.32</v>
      </c>
      <c r="L15" s="15">
        <f t="shared" si="9"/>
        <v>0.93357915362919985</v>
      </c>
      <c r="M15" s="18">
        <f t="shared" si="2"/>
        <v>6.6420846370800146E-2</v>
      </c>
      <c r="N15" s="19">
        <f t="shared" si="8"/>
        <v>82187.581182410664</v>
      </c>
      <c r="O15" s="20">
        <f t="shared" si="3"/>
        <v>5458.9687033045639</v>
      </c>
      <c r="P15" s="15">
        <f t="shared" si="10"/>
        <v>2.6362218885695978</v>
      </c>
      <c r="Q15" s="19">
        <f t="shared" si="4"/>
        <v>398034.11518019839</v>
      </c>
      <c r="R15" s="19">
        <f t="shared" si="5"/>
        <v>1840734.3344198761</v>
      </c>
      <c r="S15" s="12">
        <f t="shared" si="6"/>
        <v>22.396745444235314</v>
      </c>
      <c r="T15" s="22">
        <f t="shared" si="7"/>
        <v>7.6745444235314153E-2</v>
      </c>
    </row>
    <row r="16" spans="2:23" ht="15" customHeight="1" x14ac:dyDescent="0.3">
      <c r="B16" s="9">
        <v>55</v>
      </c>
      <c r="C16" s="10">
        <v>5</v>
      </c>
      <c r="D16" s="11">
        <f>'Defunciones generales'!D33</f>
        <v>1001.60838660647</v>
      </c>
      <c r="E16" s="11">
        <f>Homicidios!D1230</f>
        <v>6</v>
      </c>
      <c r="F16" s="12">
        <f t="shared" si="0"/>
        <v>0.99400963482311833</v>
      </c>
      <c r="G16" s="13">
        <f>LT!H33</f>
        <v>76365</v>
      </c>
      <c r="H16" s="14">
        <f>1-LT!F33</f>
        <v>0.90043899999999999</v>
      </c>
      <c r="I16" s="15">
        <f t="shared" si="1"/>
        <v>9.9561000000000011E-2</v>
      </c>
      <c r="J16" s="16">
        <f>LT!G14</f>
        <v>2.5</v>
      </c>
      <c r="K16" s="17">
        <f>LT!L33</f>
        <v>18.75</v>
      </c>
      <c r="L16" s="15">
        <f t="shared" si="9"/>
        <v>0.90100485755479376</v>
      </c>
      <c r="M16" s="18">
        <f t="shared" si="2"/>
        <v>9.8995142445206241E-2</v>
      </c>
      <c r="N16" s="19">
        <f t="shared" si="8"/>
        <v>76728.612479106101</v>
      </c>
      <c r="O16" s="20">
        <f t="shared" si="3"/>
        <v>7595.7599219921376</v>
      </c>
      <c r="P16" s="15">
        <f t="shared" si="10"/>
        <v>2.5991890671087496</v>
      </c>
      <c r="Q16" s="19">
        <f t="shared" si="4"/>
        <v>365407.07893119461</v>
      </c>
      <c r="R16" s="19">
        <f t="shared" si="5"/>
        <v>1442700.2192396778</v>
      </c>
      <c r="S16" s="12">
        <f t="shared" si="6"/>
        <v>18.802636625711667</v>
      </c>
      <c r="T16" s="22">
        <f t="shared" si="7"/>
        <v>5.2636625711667051E-2</v>
      </c>
    </row>
    <row r="17" spans="2:28" ht="15" customHeight="1" x14ac:dyDescent="0.3">
      <c r="B17" s="9">
        <v>60</v>
      </c>
      <c r="C17" s="10">
        <v>5</v>
      </c>
      <c r="D17" s="11">
        <f>'Defunciones generales'!D34</f>
        <v>1128.6798844498101</v>
      </c>
      <c r="E17" s="11">
        <f>Homicidios!D1231</f>
        <v>4</v>
      </c>
      <c r="F17" s="12">
        <f t="shared" si="0"/>
        <v>0.99645603677791261</v>
      </c>
      <c r="G17" s="13">
        <f>LT!H34</f>
        <v>68762</v>
      </c>
      <c r="H17" s="14">
        <f>1-LT!F34</f>
        <v>0.86829100000000004</v>
      </c>
      <c r="I17" s="15">
        <f t="shared" si="1"/>
        <v>0.13170899999999996</v>
      </c>
      <c r="J17" s="16">
        <f>LT!G15</f>
        <v>2.5</v>
      </c>
      <c r="K17" s="17">
        <f>LT!L34</f>
        <v>15.54</v>
      </c>
      <c r="L17" s="15">
        <f t="shared" si="9"/>
        <v>0.86872569548753675</v>
      </c>
      <c r="M17" s="18">
        <f t="shared" si="2"/>
        <v>0.13127430451246325</v>
      </c>
      <c r="N17" s="19">
        <f t="shared" si="8"/>
        <v>69132.852557113962</v>
      </c>
      <c r="O17" s="20">
        <f t="shared" si="3"/>
        <v>9075.3671383978017</v>
      </c>
      <c r="P17" s="15">
        <f t="shared" si="10"/>
        <v>2.5738588916123279</v>
      </c>
      <c r="Q17" s="19">
        <f t="shared" si="4"/>
        <v>323646.14149739232</v>
      </c>
      <c r="R17" s="19">
        <f t="shared" si="5"/>
        <v>1077293.140308483</v>
      </c>
      <c r="S17" s="12">
        <f t="shared" si="6"/>
        <v>15.582940678145453</v>
      </c>
      <c r="T17" s="22">
        <f t="shared" si="7"/>
        <v>4.2940678145454214E-2</v>
      </c>
    </row>
    <row r="18" spans="2:28" ht="15" customHeight="1" x14ac:dyDescent="0.3">
      <c r="B18" s="9">
        <v>65</v>
      </c>
      <c r="C18" s="10">
        <v>5</v>
      </c>
      <c r="D18" s="11">
        <f>'Defunciones generales'!D35</f>
        <v>1316.8323478555101</v>
      </c>
      <c r="E18" s="11">
        <f>Homicidios!D1232</f>
        <v>4</v>
      </c>
      <c r="F18" s="12">
        <f t="shared" si="0"/>
        <v>0.99696240754830023</v>
      </c>
      <c r="G18" s="13">
        <f>LT!H35</f>
        <v>59706</v>
      </c>
      <c r="H18" s="14">
        <f>1-LT!F35</f>
        <v>0.81945699999999999</v>
      </c>
      <c r="I18" s="15">
        <f t="shared" si="1"/>
        <v>0.18054300000000001</v>
      </c>
      <c r="J18" s="16">
        <f>LT!G16</f>
        <v>2.5</v>
      </c>
      <c r="K18" s="17">
        <f>LT!L35</f>
        <v>12.52</v>
      </c>
      <c r="L18" s="15">
        <f t="shared" si="9"/>
        <v>0.81995277817369305</v>
      </c>
      <c r="M18" s="18">
        <f t="shared" si="2"/>
        <v>0.18004722182630695</v>
      </c>
      <c r="N18" s="19">
        <f t="shared" si="8"/>
        <v>60057.485418716162</v>
      </c>
      <c r="O18" s="20">
        <f t="shared" si="3"/>
        <v>10813.183399513784</v>
      </c>
      <c r="P18" s="15">
        <f t="shared" si="10"/>
        <v>2.5793895723770532</v>
      </c>
      <c r="Q18" s="19">
        <f t="shared" si="4"/>
        <v>274112.92260091839</v>
      </c>
      <c r="R18" s="19">
        <f t="shared" si="5"/>
        <v>753646.99881109083</v>
      </c>
      <c r="S18" s="12">
        <f t="shared" si="6"/>
        <v>12.548760467687284</v>
      </c>
      <c r="T18" s="22">
        <f t="shared" si="7"/>
        <v>2.8760467687284574E-2</v>
      </c>
    </row>
    <row r="19" spans="2:28" ht="15" customHeight="1" x14ac:dyDescent="0.3">
      <c r="B19" s="9">
        <v>70</v>
      </c>
      <c r="C19" s="10">
        <v>5</v>
      </c>
      <c r="D19" s="11">
        <f>'Defunciones generales'!D36</f>
        <v>1530.9640551538901</v>
      </c>
      <c r="E19" s="11">
        <f>Homicidios!D1233</f>
        <v>0</v>
      </c>
      <c r="F19" s="12">
        <f t="shared" si="0"/>
        <v>1</v>
      </c>
      <c r="G19" s="13">
        <f>LT!H36</f>
        <v>48926</v>
      </c>
      <c r="H19" s="14">
        <f>1-LT!F36</f>
        <v>0.73203099999999999</v>
      </c>
      <c r="I19" s="15">
        <f t="shared" si="1"/>
        <v>0.26796900000000001</v>
      </c>
      <c r="J19" s="16">
        <f>LT!G17</f>
        <v>2.5</v>
      </c>
      <c r="K19" s="17">
        <f>LT!L36</f>
        <v>9.73</v>
      </c>
      <c r="L19" s="15">
        <f t="shared" si="9"/>
        <v>0.73203099999999999</v>
      </c>
      <c r="M19" s="18">
        <f t="shared" si="2"/>
        <v>0.26796900000000001</v>
      </c>
      <c r="N19" s="19">
        <f t="shared" si="8"/>
        <v>49244.302019202376</v>
      </c>
      <c r="O19" s="20">
        <f t="shared" si="3"/>
        <v>13195.946367783643</v>
      </c>
      <c r="P19" s="15">
        <f t="shared" si="10"/>
        <v>2.5372237270882207</v>
      </c>
      <c r="Q19" s="19">
        <f>(C19*N20)+(P19*O19)</f>
        <v>213722.84648281796</v>
      </c>
      <c r="R19" s="19">
        <f t="shared" si="5"/>
        <v>479534.07621017244</v>
      </c>
      <c r="S19" s="12">
        <f t="shared" si="6"/>
        <v>9.7378591338990326</v>
      </c>
      <c r="T19" s="22">
        <f t="shared" si="7"/>
        <v>7.8591338990321447E-3</v>
      </c>
    </row>
    <row r="20" spans="2:28" ht="15" customHeight="1" x14ac:dyDescent="0.3">
      <c r="B20" s="9">
        <v>75</v>
      </c>
      <c r="C20" s="10">
        <v>5</v>
      </c>
      <c r="D20" s="11">
        <f>'Defunciones generales'!D37</f>
        <v>1500.9353878079901</v>
      </c>
      <c r="E20" s="11">
        <f>Homicidios!D1234</f>
        <v>2</v>
      </c>
      <c r="F20" s="12">
        <f t="shared" si="0"/>
        <v>0.99866749760433005</v>
      </c>
      <c r="G20" s="13">
        <f>LT!H37</f>
        <v>35816</v>
      </c>
      <c r="H20" s="14">
        <f>1-LT!F37</f>
        <v>0.63424599999999998</v>
      </c>
      <c r="I20" s="15">
        <f t="shared" si="1"/>
        <v>0.36575400000000002</v>
      </c>
      <c r="J20" s="16">
        <f>LT!G18</f>
        <v>2.5</v>
      </c>
      <c r="K20" s="17">
        <f>LT!L37</f>
        <v>7.38</v>
      </c>
      <c r="L20" s="15">
        <f t="shared" si="9"/>
        <v>0.63463092194974402</v>
      </c>
      <c r="M20" s="18">
        <f t="shared" si="2"/>
        <v>0.36536907805025598</v>
      </c>
      <c r="N20" s="19">
        <f t="shared" si="8"/>
        <v>36048.355651418737</v>
      </c>
      <c r="O20" s="20">
        <f t="shared" si="3"/>
        <v>13170.954469586599</v>
      </c>
      <c r="P20" s="15">
        <f t="shared" si="10"/>
        <v>2.4874611772399327</v>
      </c>
      <c r="Q20" s="19">
        <f t="shared" si="4"/>
        <v>147149.24381945212</v>
      </c>
      <c r="R20" s="19">
        <f t="shared" si="5"/>
        <v>265811.22972735448</v>
      </c>
      <c r="S20" s="12">
        <f t="shared" si="6"/>
        <v>7.3737407691408272</v>
      </c>
      <c r="T20" s="22">
        <f t="shared" si="7"/>
        <v>-6.259230859172682E-3</v>
      </c>
    </row>
    <row r="21" spans="2:28" ht="15" customHeight="1" x14ac:dyDescent="0.3">
      <c r="B21" s="9">
        <v>80</v>
      </c>
      <c r="C21" s="10">
        <v>5</v>
      </c>
      <c r="D21" s="11">
        <f>'Defunciones generales'!D38</f>
        <v>1529.96297429783</v>
      </c>
      <c r="E21" s="11">
        <f>Homicidios!D1235</f>
        <v>0</v>
      </c>
      <c r="F21" s="12">
        <f t="shared" si="0"/>
        <v>1</v>
      </c>
      <c r="G21" s="13">
        <f>LT!H38</f>
        <v>22716</v>
      </c>
      <c r="H21" s="14">
        <f>1-LT!F38</f>
        <v>0.457839</v>
      </c>
      <c r="I21" s="15">
        <f t="shared" si="1"/>
        <v>0.542161</v>
      </c>
      <c r="J21" s="16">
        <f>LT!G19</f>
        <v>2.5</v>
      </c>
      <c r="K21" s="17">
        <f>LT!L38</f>
        <v>5.19</v>
      </c>
      <c r="L21" s="15">
        <f t="shared" si="9"/>
        <v>0.457839</v>
      </c>
      <c r="M21" s="18">
        <f t="shared" si="2"/>
        <v>0.542161</v>
      </c>
      <c r="N21" s="19">
        <f t="shared" si="8"/>
        <v>22877.401181832138</v>
      </c>
      <c r="O21" s="20">
        <f t="shared" si="3"/>
        <v>12403.234702143294</v>
      </c>
      <c r="P21" s="20">
        <f>C21+(F21*(I21/M21)*(J21-C21))</f>
        <v>2.5</v>
      </c>
      <c r="Q21" s="19">
        <f>(C21*N22)+(P21*O21)</f>
        <v>83378.919153802446</v>
      </c>
      <c r="R21" s="19">
        <f t="shared" si="5"/>
        <v>118661.98590790233</v>
      </c>
      <c r="S21" s="12">
        <f t="shared" si="6"/>
        <v>5.1868647563927226</v>
      </c>
      <c r="T21" s="22">
        <f t="shared" si="7"/>
        <v>-3.1352436072777934E-3</v>
      </c>
    </row>
    <row r="22" spans="2:28" ht="15" customHeight="1" x14ac:dyDescent="0.3">
      <c r="B22" s="32">
        <v>85</v>
      </c>
      <c r="C22" s="33">
        <v>5</v>
      </c>
      <c r="D22" s="11">
        <f>'Defunciones generales'!D39</f>
        <v>2432.5226103589898</v>
      </c>
      <c r="E22" s="11">
        <f>Homicidios!D1236</f>
        <v>2</v>
      </c>
      <c r="F22" s="34">
        <f t="shared" si="0"/>
        <v>0.99917780825901359</v>
      </c>
      <c r="G22" s="13">
        <f>LT!H39</f>
        <v>10400</v>
      </c>
      <c r="H22" s="14">
        <f>1-LT!F39</f>
        <v>0</v>
      </c>
      <c r="I22" s="35">
        <f t="shared" si="1"/>
        <v>1</v>
      </c>
      <c r="J22" s="16" t="str">
        <f>LT!G20</f>
        <v>NA</v>
      </c>
      <c r="K22" s="17">
        <f>LT!L39</f>
        <v>3.37</v>
      </c>
      <c r="L22" s="35">
        <f t="shared" si="9"/>
        <v>0</v>
      </c>
      <c r="M22" s="37">
        <f t="shared" si="2"/>
        <v>1</v>
      </c>
      <c r="N22" s="38">
        <f t="shared" si="8"/>
        <v>10474.166479688844</v>
      </c>
      <c r="O22" s="39">
        <f t="shared" si="3"/>
        <v>10474.166479688844</v>
      </c>
      <c r="P22" s="35">
        <f>K22/F22</f>
        <v>3.3727730661592177</v>
      </c>
      <c r="Q22" s="36">
        <f>N22/LT!E39</f>
        <v>35283.066754099877</v>
      </c>
      <c r="R22" s="38">
        <f>Q22</f>
        <v>35283.066754099877</v>
      </c>
      <c r="S22" s="34">
        <f t="shared" si="6"/>
        <v>3.3685799077682823</v>
      </c>
      <c r="T22" s="40">
        <f t="shared" si="7"/>
        <v>-1.4200922317177955E-3</v>
      </c>
    </row>
    <row r="24" spans="2:28" ht="15" customHeight="1" x14ac:dyDescent="0.3">
      <c r="B24" s="41" t="s">
        <v>36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</row>
    <row r="25" spans="2:28" ht="14.4" x14ac:dyDescent="0.3">
      <c r="C25" s="42"/>
      <c r="D25" s="42"/>
      <c r="E25" s="42"/>
      <c r="F25" s="42"/>
    </row>
    <row r="26" spans="2:28" ht="33" customHeight="1" x14ac:dyDescent="0.3">
      <c r="B26" s="3" t="s">
        <v>20</v>
      </c>
      <c r="C26" s="4" t="s">
        <v>21</v>
      </c>
      <c r="D26" s="4" t="s">
        <v>22</v>
      </c>
      <c r="E26" s="4" t="s">
        <v>23</v>
      </c>
      <c r="F26" s="5"/>
      <c r="G26" s="6"/>
      <c r="H26" s="6"/>
      <c r="I26" s="6" t="s">
        <v>24</v>
      </c>
      <c r="J26" s="6"/>
      <c r="K26" s="7" t="s">
        <v>25</v>
      </c>
      <c r="L26" s="6"/>
      <c r="M26" s="6" t="s">
        <v>26</v>
      </c>
      <c r="N26" s="6"/>
      <c r="O26" s="6" t="s">
        <v>27</v>
      </c>
      <c r="P26" s="6"/>
      <c r="Q26" s="6" t="s">
        <v>28</v>
      </c>
      <c r="R26" s="6" t="s">
        <v>29</v>
      </c>
      <c r="S26" s="7" t="s">
        <v>30</v>
      </c>
      <c r="T26" s="8" t="s">
        <v>31</v>
      </c>
      <c r="AA26" s="43" t="s">
        <v>37</v>
      </c>
      <c r="AB26" s="43" t="s">
        <v>38</v>
      </c>
    </row>
    <row r="27" spans="2:28" ht="14.4" x14ac:dyDescent="0.3">
      <c r="B27" s="9">
        <v>0</v>
      </c>
      <c r="C27" s="10">
        <v>1</v>
      </c>
      <c r="D27" s="44">
        <f>'Defunciones generales'!D78</f>
        <v>319.950791961552</v>
      </c>
      <c r="E27" s="44">
        <f>Homicidios!D553</f>
        <v>0</v>
      </c>
      <c r="F27" s="12">
        <f t="shared" ref="F27:F45" si="11">(D27-E27)/D27</f>
        <v>1</v>
      </c>
      <c r="G27" s="45">
        <f>LT!H78</f>
        <v>100000</v>
      </c>
      <c r="H27" s="46">
        <f>1-LT!F78</f>
        <v>0.979935</v>
      </c>
      <c r="I27" s="15">
        <f t="shared" ref="I27:I45" si="12">1-H27</f>
        <v>2.0065E-2</v>
      </c>
      <c r="J27" s="47">
        <f>LT!G78</f>
        <v>0.11</v>
      </c>
      <c r="K27" s="48">
        <f>LT!L78</f>
        <v>70.39</v>
      </c>
      <c r="L27" s="15">
        <f t="shared" ref="L27:L45" si="13">H27^F27</f>
        <v>0.979935</v>
      </c>
      <c r="M27" s="18">
        <f t="shared" ref="M27:M45" si="14">1-L27</f>
        <v>2.0065E-2</v>
      </c>
      <c r="N27" s="19">
        <v>100000</v>
      </c>
      <c r="O27" s="20">
        <f t="shared" ref="O27:O45" si="15">N27*M27</f>
        <v>2006.5</v>
      </c>
      <c r="P27" s="20">
        <f>C27+(F27*(I27/M27)*(J27-C27))</f>
        <v>0.10999999999999999</v>
      </c>
      <c r="Q27" s="19">
        <f t="shared" ref="Q27:Q44" si="16">(C27*N28)+(P27*O27)</f>
        <v>98214.214999999997</v>
      </c>
      <c r="R27" s="19">
        <f t="shared" ref="R27:R44" si="17">R28+Q27</f>
        <v>7046527.3146614982</v>
      </c>
      <c r="S27" s="49">
        <f t="shared" ref="S27:S45" si="18">R27/N27</f>
        <v>70.465273146614976</v>
      </c>
      <c r="T27" s="22">
        <f t="shared" ref="T27:T45" si="19">S27-K27</f>
        <v>7.5273146614975417E-2</v>
      </c>
      <c r="Z27" s="50" t="s">
        <v>39</v>
      </c>
      <c r="AA27" s="51">
        <f>S4</f>
        <v>65.131136674147868</v>
      </c>
      <c r="AB27" s="51">
        <f>S27</f>
        <v>70.465273146614976</v>
      </c>
    </row>
    <row r="28" spans="2:28" ht="14.4" x14ac:dyDescent="0.3">
      <c r="B28" s="9">
        <v>1</v>
      </c>
      <c r="C28" s="10">
        <v>4</v>
      </c>
      <c r="D28" s="44">
        <f>'Defunciones generales'!D79</f>
        <v>63.005221965219498</v>
      </c>
      <c r="E28" s="44">
        <f>Homicidios!D554</f>
        <v>0</v>
      </c>
      <c r="F28" s="12">
        <f t="shared" si="11"/>
        <v>1</v>
      </c>
      <c r="G28" s="45">
        <f>LT!H79</f>
        <v>97994</v>
      </c>
      <c r="H28" s="46">
        <f>1-LT!F79</f>
        <v>0.99645799999999995</v>
      </c>
      <c r="I28" s="15">
        <f t="shared" si="12"/>
        <v>3.5420000000000451E-3</v>
      </c>
      <c r="J28" s="47">
        <f>LT!G79</f>
        <v>1.49</v>
      </c>
      <c r="K28" s="48">
        <f>LT!L79</f>
        <v>70.819999999999993</v>
      </c>
      <c r="L28" s="15">
        <f t="shared" si="13"/>
        <v>0.99645799999999995</v>
      </c>
      <c r="M28" s="18">
        <f t="shared" si="14"/>
        <v>3.5420000000000451E-3</v>
      </c>
      <c r="N28" s="19">
        <f t="shared" ref="N28:N45" si="20">N27*L27</f>
        <v>97993.5</v>
      </c>
      <c r="O28" s="20">
        <f t="shared" si="15"/>
        <v>347.0929770000044</v>
      </c>
      <c r="P28" s="20">
        <f>C28+(F28*(I28/M28)*(J28-C28))</f>
        <v>1.4900000000000002</v>
      </c>
      <c r="Q28" s="19">
        <f t="shared" si="16"/>
        <v>391102.79662772996</v>
      </c>
      <c r="R28" s="19">
        <f t="shared" si="17"/>
        <v>6948313.0996614983</v>
      </c>
      <c r="S28" s="12">
        <f t="shared" si="18"/>
        <v>70.90585701767462</v>
      </c>
      <c r="T28" s="22">
        <f t="shared" si="19"/>
        <v>8.5857017674626945E-2</v>
      </c>
      <c r="U28" s="52"/>
      <c r="V28" s="23" t="s">
        <v>40</v>
      </c>
      <c r="W28" s="24"/>
      <c r="Z28" s="50" t="s">
        <v>41</v>
      </c>
      <c r="AA28" s="51">
        <f>K4</f>
        <v>64.930000000000007</v>
      </c>
      <c r="AB28" s="51">
        <f>K27</f>
        <v>70.39</v>
      </c>
    </row>
    <row r="29" spans="2:28" ht="14.4" x14ac:dyDescent="0.3">
      <c r="B29" s="9">
        <v>5</v>
      </c>
      <c r="C29" s="10">
        <v>5</v>
      </c>
      <c r="D29" s="44">
        <f>'Defunciones generales'!D80</f>
        <v>29.001516054418602</v>
      </c>
      <c r="E29" s="44">
        <f>Homicidios!D555</f>
        <v>0</v>
      </c>
      <c r="F29" s="12">
        <f t="shared" si="11"/>
        <v>1</v>
      </c>
      <c r="G29" s="45">
        <f>LT!H80</f>
        <v>97646</v>
      </c>
      <c r="H29" s="46">
        <f>1-LT!F80</f>
        <v>0.99842900000000001</v>
      </c>
      <c r="I29" s="15">
        <f t="shared" si="12"/>
        <v>1.5709999999999891E-3</v>
      </c>
      <c r="J29" s="47">
        <f>LT!G80</f>
        <v>2.5</v>
      </c>
      <c r="K29" s="48">
        <f>LT!L80</f>
        <v>67.069999999999993</v>
      </c>
      <c r="L29" s="15">
        <f t="shared" si="13"/>
        <v>0.99842900000000001</v>
      </c>
      <c r="M29" s="18">
        <f t="shared" si="14"/>
        <v>1.5709999999999891E-3</v>
      </c>
      <c r="N29" s="19">
        <f t="shared" si="20"/>
        <v>97646.407022999992</v>
      </c>
      <c r="O29" s="20">
        <f t="shared" si="15"/>
        <v>153.40250543313192</v>
      </c>
      <c r="P29" s="20">
        <f>C29+(F29*(I29/M29)*(J29-C29))</f>
        <v>2.5</v>
      </c>
      <c r="Q29" s="19">
        <f t="shared" si="16"/>
        <v>487848.52885141718</v>
      </c>
      <c r="R29" s="19">
        <f t="shared" si="17"/>
        <v>6557210.3030337682</v>
      </c>
      <c r="S29" s="12">
        <f t="shared" si="18"/>
        <v>67.152601953794971</v>
      </c>
      <c r="T29" s="22">
        <f t="shared" si="19"/>
        <v>8.2601953794977589E-2</v>
      </c>
      <c r="U29" s="52"/>
      <c r="V29" s="25"/>
      <c r="W29" s="26"/>
      <c r="AA29" s="53">
        <f>AA27-AA28</f>
        <v>0.20113667414786107</v>
      </c>
      <c r="AB29" s="53">
        <f>AB27-AB28</f>
        <v>7.5273146614975417E-2</v>
      </c>
    </row>
    <row r="30" spans="2:28" ht="14.4" x14ac:dyDescent="0.3">
      <c r="B30" s="9">
        <v>10</v>
      </c>
      <c r="C30" s="10">
        <v>5</v>
      </c>
      <c r="D30" s="44">
        <f>'Defunciones generales'!D81</f>
        <v>44.004211262273799</v>
      </c>
      <c r="E30" s="44">
        <f>Homicidios!D556</f>
        <v>0</v>
      </c>
      <c r="F30" s="12">
        <f t="shared" si="11"/>
        <v>1</v>
      </c>
      <c r="G30" s="45">
        <f>LT!H81</f>
        <v>97493</v>
      </c>
      <c r="H30" s="46">
        <f>1-LT!F81</f>
        <v>0.99764299999999995</v>
      </c>
      <c r="I30" s="15">
        <f t="shared" si="12"/>
        <v>2.3570000000000535E-3</v>
      </c>
      <c r="J30" s="47">
        <f>LT!G81</f>
        <v>2.5</v>
      </c>
      <c r="K30" s="48">
        <f>LT!L81</f>
        <v>62.17</v>
      </c>
      <c r="L30" s="15">
        <f t="shared" si="13"/>
        <v>0.99764299999999995</v>
      </c>
      <c r="M30" s="18">
        <f t="shared" si="14"/>
        <v>2.3570000000000535E-3</v>
      </c>
      <c r="N30" s="19">
        <f t="shared" si="20"/>
        <v>97493.004517566864</v>
      </c>
      <c r="O30" s="20">
        <f t="shared" si="15"/>
        <v>229.79101164791032</v>
      </c>
      <c r="P30" s="15">
        <f>(((-5/24)*O29)+((2.5)*O30)+((5/24)*O31))/O30</f>
        <v>2.6966266242934829</v>
      </c>
      <c r="Q30" s="19">
        <f t="shared" si="16"/>
        <v>486935.72808962793</v>
      </c>
      <c r="R30" s="19">
        <f t="shared" si="17"/>
        <v>6069361.7741823513</v>
      </c>
      <c r="S30" s="12">
        <f t="shared" si="18"/>
        <v>62.25433100780824</v>
      </c>
      <c r="T30" s="22">
        <f t="shared" si="19"/>
        <v>8.4331007808238212E-2</v>
      </c>
      <c r="U30" s="52"/>
      <c r="V30" s="27"/>
      <c r="W30" s="28"/>
    </row>
    <row r="31" spans="2:28" ht="14.4" x14ac:dyDescent="0.3">
      <c r="B31" s="9">
        <v>15</v>
      </c>
      <c r="C31" s="10">
        <v>5</v>
      </c>
      <c r="D31" s="44">
        <f>'Defunciones generales'!D82</f>
        <v>74.006738019637993</v>
      </c>
      <c r="E31" s="44">
        <f>Homicidios!D557</f>
        <v>0</v>
      </c>
      <c r="F31" s="12">
        <f t="shared" si="11"/>
        <v>1</v>
      </c>
      <c r="G31" s="45">
        <f>LT!H82</f>
        <v>97263</v>
      </c>
      <c r="H31" s="46">
        <f>1-LT!F82</f>
        <v>0.996193</v>
      </c>
      <c r="I31" s="15">
        <f t="shared" si="12"/>
        <v>3.8070000000000048E-3</v>
      </c>
      <c r="J31" s="47">
        <f>LT!G82</f>
        <v>2.5</v>
      </c>
      <c r="K31" s="48">
        <f>LT!L82</f>
        <v>57.31</v>
      </c>
      <c r="L31" s="15">
        <f t="shared" si="13"/>
        <v>0.996193</v>
      </c>
      <c r="M31" s="18">
        <f t="shared" si="14"/>
        <v>3.8070000000000048E-3</v>
      </c>
      <c r="N31" s="19">
        <f t="shared" si="20"/>
        <v>97263.21350591896</v>
      </c>
      <c r="O31" s="20">
        <f t="shared" si="15"/>
        <v>370.28105381703398</v>
      </c>
      <c r="P31" s="15">
        <f>(((-5/24)*O30)+((2.5)*O31)+((5/24)*O32))/O31</f>
        <v>2.6396359499425777</v>
      </c>
      <c r="Q31" s="19">
        <f t="shared" si="16"/>
        <v>485442.06944174774</v>
      </c>
      <c r="R31" s="19">
        <f t="shared" si="17"/>
        <v>5582426.0460927235</v>
      </c>
      <c r="S31" s="12">
        <f t="shared" si="18"/>
        <v>57.395040168532006</v>
      </c>
      <c r="T31" s="22">
        <f t="shared" si="19"/>
        <v>8.504016853200369E-2</v>
      </c>
      <c r="U31" s="43"/>
      <c r="V31" s="29" t="s">
        <v>33</v>
      </c>
      <c r="W31" s="29" t="s">
        <v>34</v>
      </c>
    </row>
    <row r="32" spans="2:28" ht="14.4" x14ac:dyDescent="0.3">
      <c r="B32" s="9">
        <v>20</v>
      </c>
      <c r="C32" s="10">
        <v>5</v>
      </c>
      <c r="D32" s="44">
        <f>'Defunciones generales'!D83</f>
        <v>98.008927876020493</v>
      </c>
      <c r="E32" s="44">
        <f>Homicidios!D558</f>
        <v>0</v>
      </c>
      <c r="F32" s="12">
        <f t="shared" si="11"/>
        <v>1</v>
      </c>
      <c r="G32" s="45">
        <f>LT!H83</f>
        <v>96893</v>
      </c>
      <c r="H32" s="46">
        <f>1-LT!F83</f>
        <v>0.99506700000000003</v>
      </c>
      <c r="I32" s="15">
        <f t="shared" si="12"/>
        <v>4.9329999999999652E-3</v>
      </c>
      <c r="J32" s="47">
        <f>LT!G83</f>
        <v>2.5</v>
      </c>
      <c r="K32" s="48">
        <f>LT!L83</f>
        <v>52.52</v>
      </c>
      <c r="L32" s="15">
        <f t="shared" si="13"/>
        <v>0.99506700000000003</v>
      </c>
      <c r="M32" s="18">
        <f t="shared" si="14"/>
        <v>4.9329999999999652E-3</v>
      </c>
      <c r="N32" s="19">
        <f t="shared" si="20"/>
        <v>96892.93245210193</v>
      </c>
      <c r="O32" s="20">
        <f t="shared" si="15"/>
        <v>477.97283578621546</v>
      </c>
      <c r="P32" s="15">
        <f>(((-5/24)*O31)+((2.5)*O32)+((5/24)*O33))/O32</f>
        <v>2.5602420232086653</v>
      </c>
      <c r="Q32" s="19">
        <f t="shared" si="16"/>
        <v>483298.52422171063</v>
      </c>
      <c r="R32" s="19">
        <f t="shared" si="17"/>
        <v>5096983.9766509756</v>
      </c>
      <c r="S32" s="12">
        <f t="shared" si="18"/>
        <v>52.604290608818346</v>
      </c>
      <c r="T32" s="22">
        <f t="shared" si="19"/>
        <v>8.4290608818342605E-2</v>
      </c>
      <c r="U32" s="54"/>
      <c r="V32" s="30">
        <f>([2]TV!M29-[2]TV!M47)/[2]TV!J29</f>
        <v>73.32569985958979</v>
      </c>
      <c r="W32" s="30">
        <f>(R27-R45)/N27</f>
        <v>69.847801022901265</v>
      </c>
    </row>
    <row r="33" spans="2:23" ht="14.4" x14ac:dyDescent="0.3">
      <c r="B33" s="9">
        <v>25</v>
      </c>
      <c r="C33" s="10">
        <v>5</v>
      </c>
      <c r="D33" s="44">
        <f>'Defunciones generales'!D84</f>
        <v>101.00892787602</v>
      </c>
      <c r="E33" s="44">
        <f>Homicidios!D559</f>
        <v>0</v>
      </c>
      <c r="F33" s="12">
        <f t="shared" si="11"/>
        <v>1</v>
      </c>
      <c r="G33" s="45">
        <f>LT!H84</f>
        <v>96415</v>
      </c>
      <c r="H33" s="46">
        <f>1-LT!F84</f>
        <v>0.994726</v>
      </c>
      <c r="I33" s="15">
        <f t="shared" si="12"/>
        <v>5.2740000000000009E-3</v>
      </c>
      <c r="J33" s="47">
        <f>LT!G84</f>
        <v>2.5</v>
      </c>
      <c r="K33" s="48">
        <f>LT!L84</f>
        <v>47.77</v>
      </c>
      <c r="L33" s="15">
        <f t="shared" si="13"/>
        <v>0.994726</v>
      </c>
      <c r="M33" s="18">
        <f t="shared" si="14"/>
        <v>5.2740000000000009E-3</v>
      </c>
      <c r="N33" s="19">
        <f t="shared" si="20"/>
        <v>96414.959616315711</v>
      </c>
      <c r="O33" s="20">
        <f t="shared" si="15"/>
        <v>508.49249701644914</v>
      </c>
      <c r="P33" s="15">
        <f>(((-5/24)*O32)+((2.5)*O33)+((5/24)*O34))/O33</f>
        <v>2.6582933117942518</v>
      </c>
      <c r="Q33" s="19">
        <f t="shared" si="16"/>
        <v>480884.05780041276</v>
      </c>
      <c r="R33" s="19">
        <f t="shared" si="17"/>
        <v>4613685.4524292648</v>
      </c>
      <c r="S33" s="12">
        <f t="shared" si="18"/>
        <v>47.852381734011736</v>
      </c>
      <c r="T33" s="22">
        <f t="shared" si="19"/>
        <v>8.2381734011732988E-2</v>
      </c>
      <c r="V33" s="31" t="s">
        <v>35</v>
      </c>
      <c r="W33" s="30">
        <f>W32-V32</f>
        <v>-3.4778988366885244</v>
      </c>
    </row>
    <row r="34" spans="2:23" ht="14.4" x14ac:dyDescent="0.3">
      <c r="B34" s="9">
        <v>30</v>
      </c>
      <c r="C34" s="10">
        <v>5</v>
      </c>
      <c r="D34" s="44">
        <f>'Defunciones generales'!D85</f>
        <v>170.015665895659</v>
      </c>
      <c r="E34" s="44">
        <f>Homicidios!D560</f>
        <v>2</v>
      </c>
      <c r="F34" s="12">
        <f t="shared" si="11"/>
        <v>0.9882363781627781</v>
      </c>
      <c r="G34" s="45">
        <f>LT!H85</f>
        <v>95907</v>
      </c>
      <c r="H34" s="46">
        <f>1-LT!F85</f>
        <v>0.99088100000000001</v>
      </c>
      <c r="I34" s="15">
        <f t="shared" si="12"/>
        <v>9.1189999999999882E-3</v>
      </c>
      <c r="J34" s="47">
        <f>LT!G85</f>
        <v>2.5</v>
      </c>
      <c r="K34" s="48">
        <f>LT!L85</f>
        <v>43.01</v>
      </c>
      <c r="L34" s="15">
        <f t="shared" si="13"/>
        <v>0.99098778761903172</v>
      </c>
      <c r="M34" s="18">
        <f t="shared" si="14"/>
        <v>9.0122123809682764E-3</v>
      </c>
      <c r="N34" s="19">
        <f t="shared" si="20"/>
        <v>95906.467119299268</v>
      </c>
      <c r="O34" s="20">
        <f t="shared" si="15"/>
        <v>864.32945038747573</v>
      </c>
      <c r="P34" s="15">
        <f t="shared" ref="P34:P42" si="21">(((-5/24)*O33)+((2.5)*O34)+((5/24)*O35))/O34</f>
        <v>2.6136200012199997</v>
      </c>
      <c r="Q34" s="19">
        <f t="shared" si="16"/>
        <v>477469.71708373516</v>
      </c>
      <c r="R34" s="19">
        <f t="shared" si="17"/>
        <v>4132801.3946288517</v>
      </c>
      <c r="S34" s="12">
        <f t="shared" si="18"/>
        <v>43.091999098329914</v>
      </c>
      <c r="T34" s="22">
        <f t="shared" si="19"/>
        <v>8.1999098329916364E-2</v>
      </c>
    </row>
    <row r="35" spans="2:23" ht="14.4" x14ac:dyDescent="0.3">
      <c r="B35" s="9">
        <v>35</v>
      </c>
      <c r="C35" s="10">
        <v>5</v>
      </c>
      <c r="D35" s="44">
        <f>'Defunciones generales'!D86</f>
        <v>185.01583434615</v>
      </c>
      <c r="E35" s="44">
        <f>Homicidios!D561</f>
        <v>2</v>
      </c>
      <c r="F35" s="12">
        <f t="shared" si="11"/>
        <v>0.98919011441875748</v>
      </c>
      <c r="G35" s="45">
        <f>LT!H86</f>
        <v>95032</v>
      </c>
      <c r="H35" s="46">
        <f>1-LT!F86</f>
        <v>0.98957799999999996</v>
      </c>
      <c r="I35" s="15">
        <f t="shared" si="12"/>
        <v>1.0422000000000042E-2</v>
      </c>
      <c r="J35" s="47">
        <f>LT!G86</f>
        <v>2.5</v>
      </c>
      <c r="K35" s="48">
        <f>LT!L86</f>
        <v>38.380000000000003</v>
      </c>
      <c r="L35" s="15">
        <f t="shared" si="13"/>
        <v>0.98969007784919594</v>
      </c>
      <c r="M35" s="18">
        <f t="shared" si="14"/>
        <v>1.0309922150804063E-2</v>
      </c>
      <c r="N35" s="19">
        <f t="shared" si="20"/>
        <v>95042.13766891179</v>
      </c>
      <c r="O35" s="20">
        <f t="shared" si="15"/>
        <v>979.87704041248287</v>
      </c>
      <c r="P35" s="15">
        <f t="shared" si="21"/>
        <v>2.6451852688939956</v>
      </c>
      <c r="Q35" s="19">
        <f t="shared" si="16"/>
        <v>472903.2594551231</v>
      </c>
      <c r="R35" s="19">
        <f t="shared" si="17"/>
        <v>3655331.6775451167</v>
      </c>
      <c r="S35" s="12">
        <f t="shared" si="18"/>
        <v>38.460116398884125</v>
      </c>
      <c r="T35" s="22">
        <f t="shared" si="19"/>
        <v>8.0116398884122475E-2</v>
      </c>
    </row>
    <row r="36" spans="2:23" ht="14.4" x14ac:dyDescent="0.3">
      <c r="B36" s="9">
        <v>40</v>
      </c>
      <c r="C36" s="10">
        <v>5</v>
      </c>
      <c r="D36" s="44">
        <f>'Defunciones generales'!D87</f>
        <v>273.02307771725998</v>
      </c>
      <c r="E36" s="44">
        <f>Homicidios!D562</f>
        <v>2</v>
      </c>
      <c r="F36" s="12">
        <f t="shared" si="11"/>
        <v>0.99267461191661177</v>
      </c>
      <c r="G36" s="45">
        <f>LT!H87</f>
        <v>94042</v>
      </c>
      <c r="H36" s="46">
        <f>1-LT!F87</f>
        <v>0.98343099999999994</v>
      </c>
      <c r="I36" s="15">
        <f t="shared" si="12"/>
        <v>1.6569000000000056E-2</v>
      </c>
      <c r="J36" s="47">
        <f>LT!G87</f>
        <v>2.5</v>
      </c>
      <c r="K36" s="48">
        <f>LT!L87</f>
        <v>33.76</v>
      </c>
      <c r="L36" s="15">
        <f t="shared" si="13"/>
        <v>0.98355137059531472</v>
      </c>
      <c r="M36" s="18">
        <f t="shared" si="14"/>
        <v>1.6448629404685278E-2</v>
      </c>
      <c r="N36" s="19">
        <f t="shared" si="20"/>
        <v>94062.260628499309</v>
      </c>
      <c r="O36" s="20">
        <f t="shared" si="15"/>
        <v>1547.1952660451041</v>
      </c>
      <c r="P36" s="15">
        <f t="shared" si="21"/>
        <v>2.7004322287763625</v>
      </c>
      <c r="Q36" s="19">
        <f t="shared" si="16"/>
        <v>466753.42277290946</v>
      </c>
      <c r="R36" s="19">
        <f t="shared" si="17"/>
        <v>3182428.4180899938</v>
      </c>
      <c r="S36" s="12">
        <f t="shared" si="18"/>
        <v>33.833212138703061</v>
      </c>
      <c r="T36" s="22">
        <f t="shared" si="19"/>
        <v>7.321213870306309E-2</v>
      </c>
    </row>
    <row r="37" spans="2:23" ht="14.4" x14ac:dyDescent="0.3">
      <c r="B37" s="9">
        <v>45</v>
      </c>
      <c r="C37" s="10">
        <v>5</v>
      </c>
      <c r="D37" s="44">
        <f>'Defunciones generales'!D88</f>
        <v>400.03251094475399</v>
      </c>
      <c r="E37" s="44">
        <f>Homicidios!D563</f>
        <v>0</v>
      </c>
      <c r="F37" s="12">
        <f t="shared" si="11"/>
        <v>1</v>
      </c>
      <c r="G37" s="45">
        <f>LT!H88</f>
        <v>92483</v>
      </c>
      <c r="H37" s="46">
        <f>1-LT!F88</f>
        <v>0.97331900000000005</v>
      </c>
      <c r="I37" s="15">
        <f t="shared" si="12"/>
        <v>2.6680999999999955E-2</v>
      </c>
      <c r="J37" s="47">
        <f>LT!G88</f>
        <v>2.5</v>
      </c>
      <c r="K37" s="48">
        <f>LT!L88</f>
        <v>29.29</v>
      </c>
      <c r="L37" s="15">
        <f t="shared" si="13"/>
        <v>0.97331900000000005</v>
      </c>
      <c r="M37" s="18">
        <f t="shared" si="14"/>
        <v>2.6680999999999955E-2</v>
      </c>
      <c r="N37" s="19">
        <f t="shared" si="20"/>
        <v>92515.065362454203</v>
      </c>
      <c r="O37" s="20">
        <f t="shared" si="15"/>
        <v>2468.3944589356365</v>
      </c>
      <c r="P37" s="15">
        <f t="shared" si="21"/>
        <v>2.6724421844348867</v>
      </c>
      <c r="Q37" s="19">
        <f t="shared" si="16"/>
        <v>456829.99599747773</v>
      </c>
      <c r="R37" s="19">
        <f t="shared" si="17"/>
        <v>2715674.9953170842</v>
      </c>
      <c r="S37" s="12">
        <f t="shared" si="18"/>
        <v>29.35386776929413</v>
      </c>
      <c r="T37" s="22">
        <f t="shared" si="19"/>
        <v>6.3867769294130738E-2</v>
      </c>
    </row>
    <row r="38" spans="2:23" ht="14.4" x14ac:dyDescent="0.3">
      <c r="B38" s="9">
        <v>50</v>
      </c>
      <c r="C38" s="10">
        <v>5</v>
      </c>
      <c r="D38" s="44">
        <f>'Defunciones generales'!D89</f>
        <v>513.04581853353898</v>
      </c>
      <c r="E38" s="44">
        <f>Homicidios!D564</f>
        <v>0</v>
      </c>
      <c r="F38" s="12">
        <f t="shared" si="11"/>
        <v>1</v>
      </c>
      <c r="G38" s="45">
        <f>LT!H89</f>
        <v>90016</v>
      </c>
      <c r="H38" s="46">
        <f>1-LT!F89</f>
        <v>0.96012799999999998</v>
      </c>
      <c r="I38" s="15">
        <f t="shared" si="12"/>
        <v>3.9872000000000019E-2</v>
      </c>
      <c r="J38" s="47">
        <f>LT!G89</f>
        <v>2.5</v>
      </c>
      <c r="K38" s="48">
        <f>LT!L89</f>
        <v>25.02</v>
      </c>
      <c r="L38" s="15">
        <f t="shared" si="13"/>
        <v>0.96012799999999998</v>
      </c>
      <c r="M38" s="18">
        <f t="shared" si="14"/>
        <v>3.9872000000000019E-2</v>
      </c>
      <c r="N38" s="19">
        <f t="shared" si="20"/>
        <v>90046.670903518563</v>
      </c>
      <c r="O38" s="20">
        <f t="shared" si="15"/>
        <v>3590.3408622650936</v>
      </c>
      <c r="P38" s="15">
        <f t="shared" si="21"/>
        <v>2.6623873885131606</v>
      </c>
      <c r="Q38" s="19">
        <f t="shared" si="16"/>
        <v>441840.52843842539</v>
      </c>
      <c r="R38" s="19">
        <f t="shared" si="17"/>
        <v>2258844.9993196065</v>
      </c>
      <c r="S38" s="12">
        <f t="shared" si="18"/>
        <v>25.08526941256795</v>
      </c>
      <c r="T38" s="22">
        <f t="shared" si="19"/>
        <v>6.5269412567950269E-2</v>
      </c>
    </row>
    <row r="39" spans="2:23" ht="14.4" x14ac:dyDescent="0.3">
      <c r="B39" s="9">
        <v>55</v>
      </c>
      <c r="C39" s="10">
        <v>5</v>
      </c>
      <c r="D39" s="44">
        <f>'Defunciones generales'!D90</f>
        <v>667.05862077085101</v>
      </c>
      <c r="E39" s="44">
        <f>Homicidios!D565</f>
        <v>0</v>
      </c>
      <c r="F39" s="12">
        <f t="shared" si="11"/>
        <v>1</v>
      </c>
      <c r="G39" s="45">
        <f>LT!H90</f>
        <v>86427</v>
      </c>
      <c r="H39" s="46">
        <f>1-LT!F90</f>
        <v>0.93908000000000003</v>
      </c>
      <c r="I39" s="15">
        <f t="shared" si="12"/>
        <v>6.0919999999999974E-2</v>
      </c>
      <c r="J39" s="47">
        <f>LT!G90</f>
        <v>2.5</v>
      </c>
      <c r="K39" s="48">
        <f>LT!L90</f>
        <v>20.96</v>
      </c>
      <c r="L39" s="15">
        <f t="shared" si="13"/>
        <v>0.93908000000000003</v>
      </c>
      <c r="M39" s="18">
        <f t="shared" si="14"/>
        <v>6.0919999999999974E-2</v>
      </c>
      <c r="N39" s="19">
        <f t="shared" si="20"/>
        <v>86456.330041253474</v>
      </c>
      <c r="O39" s="20">
        <f t="shared" si="15"/>
        <v>5266.9196261131592</v>
      </c>
      <c r="P39" s="15">
        <f t="shared" si="21"/>
        <v>2.6814284614596073</v>
      </c>
      <c r="Q39" s="19">
        <f t="shared" si="16"/>
        <v>420069.92026538163</v>
      </c>
      <c r="R39" s="19">
        <f t="shared" si="17"/>
        <v>1817004.4708811811</v>
      </c>
      <c r="S39" s="12">
        <f t="shared" si="18"/>
        <v>21.01644228958342</v>
      </c>
      <c r="T39" s="22">
        <f t="shared" si="19"/>
        <v>5.6442289583419125E-2</v>
      </c>
    </row>
    <row r="40" spans="2:23" ht="14.4" x14ac:dyDescent="0.3">
      <c r="B40" s="9">
        <v>60</v>
      </c>
      <c r="C40" s="10">
        <v>5</v>
      </c>
      <c r="D40" s="44">
        <f>'Defunciones generales'!D91</f>
        <v>950.07950863172903</v>
      </c>
      <c r="E40" s="44">
        <f>Homicidios!D566</f>
        <v>0</v>
      </c>
      <c r="F40" s="12">
        <f t="shared" si="11"/>
        <v>1</v>
      </c>
      <c r="G40" s="45">
        <f>LT!H91</f>
        <v>81162</v>
      </c>
      <c r="H40" s="46">
        <f>1-LT!F91</f>
        <v>0.89928399999999997</v>
      </c>
      <c r="I40" s="15">
        <f t="shared" si="12"/>
        <v>0.10071600000000003</v>
      </c>
      <c r="J40" s="47">
        <f>LT!G91</f>
        <v>2.5</v>
      </c>
      <c r="K40" s="48">
        <f>LT!L91</f>
        <v>17.149999999999999</v>
      </c>
      <c r="L40" s="15">
        <f t="shared" si="13"/>
        <v>0.89928399999999997</v>
      </c>
      <c r="M40" s="18">
        <f t="shared" si="14"/>
        <v>0.10071600000000003</v>
      </c>
      <c r="N40" s="19">
        <f t="shared" si="20"/>
        <v>81189.410415140315</v>
      </c>
      <c r="O40" s="20">
        <f t="shared" si="15"/>
        <v>8177.0726593712743</v>
      </c>
      <c r="P40" s="15">
        <f t="shared" si="21"/>
        <v>2.6323368635790381</v>
      </c>
      <c r="Q40" s="19">
        <f t="shared" si="16"/>
        <v>386586.49857627245</v>
      </c>
      <c r="R40" s="19">
        <f t="shared" si="17"/>
        <v>1396934.5506157994</v>
      </c>
      <c r="S40" s="12">
        <f t="shared" si="18"/>
        <v>17.205871350376221</v>
      </c>
      <c r="T40" s="22">
        <f t="shared" si="19"/>
        <v>5.587135037622204E-2</v>
      </c>
    </row>
    <row r="41" spans="2:23" ht="14.4" x14ac:dyDescent="0.3">
      <c r="B41" s="9">
        <v>65</v>
      </c>
      <c r="C41" s="10">
        <v>5</v>
      </c>
      <c r="D41" s="44">
        <f>'Defunciones generales'!D92</f>
        <v>1134.0941638244401</v>
      </c>
      <c r="E41" s="44">
        <f>Homicidios!D567</f>
        <v>0</v>
      </c>
      <c r="F41" s="12">
        <f t="shared" si="11"/>
        <v>1</v>
      </c>
      <c r="G41" s="45">
        <f>LT!H92</f>
        <v>72987</v>
      </c>
      <c r="H41" s="46">
        <f>1-LT!F92</f>
        <v>0.85672100000000007</v>
      </c>
      <c r="I41" s="15">
        <f t="shared" si="12"/>
        <v>0.14327899999999993</v>
      </c>
      <c r="J41" s="47">
        <f>LT!G92</f>
        <v>2.5</v>
      </c>
      <c r="K41" s="48">
        <f>LT!L92</f>
        <v>13.8</v>
      </c>
      <c r="L41" s="15">
        <f t="shared" si="13"/>
        <v>0.85672100000000007</v>
      </c>
      <c r="M41" s="18">
        <f t="shared" si="14"/>
        <v>0.14327899999999993</v>
      </c>
      <c r="N41" s="19">
        <f t="shared" si="20"/>
        <v>73012.33775576904</v>
      </c>
      <c r="O41" s="20">
        <f t="shared" si="15"/>
        <v>10461.134741308828</v>
      </c>
      <c r="P41" s="15">
        <f t="shared" si="21"/>
        <v>2.6074059545636996</v>
      </c>
      <c r="Q41" s="19">
        <f t="shared" si="16"/>
        <v>340032.44008828286</v>
      </c>
      <c r="R41" s="19">
        <f t="shared" si="17"/>
        <v>1010348.0520395269</v>
      </c>
      <c r="S41" s="12">
        <f t="shared" si="18"/>
        <v>13.83804550155901</v>
      </c>
      <c r="T41" s="22">
        <f t="shared" si="19"/>
        <v>3.8045501559009764E-2</v>
      </c>
    </row>
    <row r="42" spans="2:23" ht="14.4" x14ac:dyDescent="0.3">
      <c r="B42" s="9">
        <v>70</v>
      </c>
      <c r="C42" s="10">
        <v>5</v>
      </c>
      <c r="D42" s="44">
        <f>'Defunciones generales'!D93</f>
        <v>1318.1015756460499</v>
      </c>
      <c r="E42" s="44">
        <f>Homicidios!D568</f>
        <v>0</v>
      </c>
      <c r="F42" s="12">
        <f t="shared" si="11"/>
        <v>1</v>
      </c>
      <c r="G42" s="45">
        <f>LT!H93</f>
        <v>62530</v>
      </c>
      <c r="H42" s="46">
        <f>1-LT!F93</f>
        <v>0.783053</v>
      </c>
      <c r="I42" s="15">
        <f t="shared" si="12"/>
        <v>0.216947</v>
      </c>
      <c r="J42" s="47">
        <f>LT!G93</f>
        <v>2.5</v>
      </c>
      <c r="K42" s="48">
        <f>LT!L93</f>
        <v>10.69</v>
      </c>
      <c r="L42" s="15">
        <f t="shared" si="13"/>
        <v>0.783053</v>
      </c>
      <c r="M42" s="18">
        <f t="shared" si="14"/>
        <v>0.216947</v>
      </c>
      <c r="N42" s="19">
        <f t="shared" si="20"/>
        <v>62551.20301446021</v>
      </c>
      <c r="O42" s="20">
        <f t="shared" si="15"/>
        <v>13570.295840378099</v>
      </c>
      <c r="P42" s="15">
        <f t="shared" si="21"/>
        <v>2.585890968949359</v>
      </c>
      <c r="Q42" s="19">
        <f t="shared" si="16"/>
        <v>279995.84133001533</v>
      </c>
      <c r="R42" s="19">
        <f t="shared" si="17"/>
        <v>670315.61195124406</v>
      </c>
      <c r="S42" s="12">
        <f t="shared" si="18"/>
        <v>10.716270505561413</v>
      </c>
      <c r="T42" s="22">
        <f t="shared" si="19"/>
        <v>2.6270505561413415E-2</v>
      </c>
    </row>
    <row r="43" spans="2:23" ht="14.4" x14ac:dyDescent="0.3">
      <c r="B43" s="9">
        <v>75</v>
      </c>
      <c r="C43" s="10">
        <v>5</v>
      </c>
      <c r="D43" s="44">
        <f>'Defunciones generales'!D94</f>
        <v>1411.1201052000499</v>
      </c>
      <c r="E43" s="44">
        <f>Homicidios!D569</f>
        <v>2</v>
      </c>
      <c r="F43" s="12">
        <f t="shared" si="11"/>
        <v>0.99858268619897772</v>
      </c>
      <c r="G43" s="45">
        <f>LT!H94</f>
        <v>48964</v>
      </c>
      <c r="H43" s="46">
        <f>1-LT!F94</f>
        <v>0.67182300000000006</v>
      </c>
      <c r="I43" s="15">
        <f t="shared" si="12"/>
        <v>0.32817699999999994</v>
      </c>
      <c r="J43" s="47">
        <f>LT!G94</f>
        <v>2.5</v>
      </c>
      <c r="K43" s="48">
        <f>LT!L94</f>
        <v>7.95</v>
      </c>
      <c r="L43" s="15">
        <f t="shared" si="13"/>
        <v>0.67220184783816361</v>
      </c>
      <c r="M43" s="18">
        <f t="shared" si="14"/>
        <v>0.32779815216183639</v>
      </c>
      <c r="N43" s="19">
        <f t="shared" si="20"/>
        <v>48980.907174082109</v>
      </c>
      <c r="O43" s="20">
        <f t="shared" si="15"/>
        <v>16055.850862874551</v>
      </c>
      <c r="P43" s="15">
        <f>(((-5/24)*O42)+((2.5)*O43)+((5/24)*O44))/O43</f>
        <v>2.5390222654505425</v>
      </c>
      <c r="Q43" s="19">
        <f t="shared" si="16"/>
        <v>205391.4443876296</v>
      </c>
      <c r="R43" s="19">
        <f t="shared" si="17"/>
        <v>390319.77062122873</v>
      </c>
      <c r="S43" s="12">
        <f t="shared" si="18"/>
        <v>7.9688146492264966</v>
      </c>
      <c r="T43" s="22">
        <f t="shared" si="19"/>
        <v>1.8814649226496449E-2</v>
      </c>
    </row>
    <row r="44" spans="2:23" ht="14.4" x14ac:dyDescent="0.3">
      <c r="B44" s="9">
        <v>80</v>
      </c>
      <c r="C44" s="10">
        <v>5</v>
      </c>
      <c r="D44" s="44">
        <f>'Defunciones generales'!D95</f>
        <v>1568.1243164623199</v>
      </c>
      <c r="E44" s="44">
        <f>Homicidios!D570</f>
        <v>0</v>
      </c>
      <c r="F44" s="12">
        <f t="shared" si="11"/>
        <v>1</v>
      </c>
      <c r="G44" s="45">
        <f>LT!H95</f>
        <v>32895</v>
      </c>
      <c r="H44" s="46">
        <f>1-LT!F95</f>
        <v>0.49650300000000003</v>
      </c>
      <c r="I44" s="15">
        <f t="shared" si="12"/>
        <v>0.50349699999999997</v>
      </c>
      <c r="J44" s="47">
        <f>LT!G95</f>
        <v>2.5</v>
      </c>
      <c r="K44" s="48">
        <f>LT!L95</f>
        <v>5.62</v>
      </c>
      <c r="L44" s="15">
        <f t="shared" si="13"/>
        <v>0.49650300000000003</v>
      </c>
      <c r="M44" s="18">
        <f t="shared" si="14"/>
        <v>0.50349699999999997</v>
      </c>
      <c r="N44" s="19">
        <f t="shared" si="20"/>
        <v>32925.056311207562</v>
      </c>
      <c r="O44" s="20">
        <f t="shared" si="15"/>
        <v>16577.667077524071</v>
      </c>
      <c r="P44" s="20">
        <f>C44+(F44*(I44/M44)*(J44-C44))</f>
        <v>2.5</v>
      </c>
      <c r="Q44" s="19">
        <f t="shared" si="16"/>
        <v>123181.11386222762</v>
      </c>
      <c r="R44" s="19">
        <f t="shared" si="17"/>
        <v>184928.3262335991</v>
      </c>
      <c r="S44" s="12">
        <f t="shared" si="18"/>
        <v>5.6166441899341635</v>
      </c>
      <c r="T44" s="22">
        <f t="shared" si="19"/>
        <v>-3.3558100658366286E-3</v>
      </c>
    </row>
    <row r="45" spans="2:23" ht="14.4" x14ac:dyDescent="0.3">
      <c r="B45" s="32">
        <v>85</v>
      </c>
      <c r="C45" s="33">
        <v>5</v>
      </c>
      <c r="D45" s="44">
        <f>'Defunciones generales'!D96</f>
        <v>2692.2242076034499</v>
      </c>
      <c r="E45" s="44">
        <f>Homicidios!D571</f>
        <v>0</v>
      </c>
      <c r="F45" s="34">
        <f t="shared" si="11"/>
        <v>1</v>
      </c>
      <c r="G45" s="45">
        <f>LT!H96</f>
        <v>16333</v>
      </c>
      <c r="H45" s="46">
        <f>1-LT!F96</f>
        <v>0</v>
      </c>
      <c r="I45" s="35">
        <f t="shared" si="12"/>
        <v>1</v>
      </c>
      <c r="J45" s="47" t="str">
        <f>LT!G96</f>
        <v>NA</v>
      </c>
      <c r="K45" s="48">
        <f>LT!L96</f>
        <v>3.78</v>
      </c>
      <c r="L45" s="35">
        <f t="shared" si="13"/>
        <v>0</v>
      </c>
      <c r="M45" s="37">
        <f t="shared" si="14"/>
        <v>1</v>
      </c>
      <c r="N45" s="38">
        <f t="shared" si="20"/>
        <v>16347.389233683489</v>
      </c>
      <c r="O45" s="39">
        <f t="shared" si="15"/>
        <v>16347.389233683489</v>
      </c>
      <c r="P45" s="35">
        <f>K45/F45</f>
        <v>3.78</v>
      </c>
      <c r="Q45" s="55">
        <f>N45/LT!E96</f>
        <v>61747.21237137149</v>
      </c>
      <c r="R45" s="38">
        <f>Q45</f>
        <v>61747.21237137149</v>
      </c>
      <c r="S45" s="34">
        <f t="shared" si="18"/>
        <v>3.7771910541007072</v>
      </c>
      <c r="T45" s="40">
        <f t="shared" si="19"/>
        <v>-2.808945899292592E-3</v>
      </c>
    </row>
  </sheetData>
  <mergeCells count="4">
    <mergeCell ref="B2:T2"/>
    <mergeCell ref="V5:W7"/>
    <mergeCell ref="B24:T24"/>
    <mergeCell ref="V28:W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165D2-A7B4-473B-8B05-8BC12AF75044}">
  <dimension ref="A1:L115"/>
  <sheetViews>
    <sheetView topLeftCell="A26" workbookViewId="0">
      <selection activeCell="N7" sqref="N7"/>
    </sheetView>
  </sheetViews>
  <sheetFormatPr baseColWidth="10" defaultRowHeight="14.4" x14ac:dyDescent="0.3"/>
  <sheetData>
    <row r="1" spans="1:12" x14ac:dyDescent="0.3">
      <c r="A1" t="s">
        <v>6</v>
      </c>
      <c r="B1" t="s">
        <v>0</v>
      </c>
      <c r="C1" t="s">
        <v>1</v>
      </c>
      <c r="D1" t="s">
        <v>2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 spans="1:12" x14ac:dyDescent="0.3">
      <c r="A2" t="s">
        <v>15</v>
      </c>
      <c r="B2">
        <v>2010</v>
      </c>
      <c r="C2" t="s">
        <v>16</v>
      </c>
      <c r="D2">
        <v>0</v>
      </c>
      <c r="E2">
        <v>2.7047999999999999E-2</v>
      </c>
      <c r="F2">
        <v>2.6417E-2</v>
      </c>
      <c r="G2">
        <v>0.12</v>
      </c>
      <c r="H2" s="1">
        <v>100000</v>
      </c>
      <c r="I2">
        <v>2642</v>
      </c>
      <c r="J2">
        <v>97669</v>
      </c>
      <c r="K2">
        <v>6440382</v>
      </c>
      <c r="L2">
        <v>64.400000000000006</v>
      </c>
    </row>
    <row r="3" spans="1:12" x14ac:dyDescent="0.3">
      <c r="A3" t="s">
        <v>15</v>
      </c>
      <c r="B3">
        <v>2010</v>
      </c>
      <c r="C3" t="s">
        <v>16</v>
      </c>
      <c r="D3">
        <v>1</v>
      </c>
      <c r="E3">
        <v>1.1349999999999999E-3</v>
      </c>
      <c r="F3">
        <v>4.529E-3</v>
      </c>
      <c r="G3">
        <v>1.57</v>
      </c>
      <c r="H3">
        <v>97358</v>
      </c>
      <c r="I3">
        <v>441</v>
      </c>
      <c r="J3">
        <v>388364</v>
      </c>
      <c r="K3">
        <v>6342713</v>
      </c>
      <c r="L3">
        <v>65.150000000000006</v>
      </c>
    </row>
    <row r="4" spans="1:12" x14ac:dyDescent="0.3">
      <c r="A4" t="s">
        <v>15</v>
      </c>
      <c r="B4">
        <v>2010</v>
      </c>
      <c r="C4" t="s">
        <v>16</v>
      </c>
      <c r="D4">
        <v>5</v>
      </c>
      <c r="E4">
        <v>5.4199999999999995E-4</v>
      </c>
      <c r="F4">
        <v>2.7070000000000002E-3</v>
      </c>
      <c r="G4">
        <v>2.5</v>
      </c>
      <c r="H4">
        <v>96917</v>
      </c>
      <c r="I4">
        <v>262</v>
      </c>
      <c r="J4">
        <v>483931</v>
      </c>
      <c r="K4">
        <v>5954349</v>
      </c>
      <c r="L4">
        <v>61.44</v>
      </c>
    </row>
    <row r="5" spans="1:12" x14ac:dyDescent="0.3">
      <c r="A5" t="s">
        <v>15</v>
      </c>
      <c r="B5">
        <v>2010</v>
      </c>
      <c r="C5" t="s">
        <v>16</v>
      </c>
      <c r="D5">
        <v>10</v>
      </c>
      <c r="E5">
        <v>5.0699999999999996E-4</v>
      </c>
      <c r="F5">
        <v>2.5339999999999998E-3</v>
      </c>
      <c r="G5">
        <v>2.5</v>
      </c>
      <c r="H5">
        <v>96655</v>
      </c>
      <c r="I5">
        <v>245</v>
      </c>
      <c r="J5">
        <v>482663</v>
      </c>
      <c r="K5">
        <v>5470418</v>
      </c>
      <c r="L5">
        <v>56.6</v>
      </c>
    </row>
    <row r="6" spans="1:12" x14ac:dyDescent="0.3">
      <c r="A6" t="s">
        <v>15</v>
      </c>
      <c r="B6">
        <v>2010</v>
      </c>
      <c r="C6" t="s">
        <v>16</v>
      </c>
      <c r="D6">
        <v>15</v>
      </c>
      <c r="E6">
        <v>1.4300000000000001E-3</v>
      </c>
      <c r="F6">
        <v>7.123E-3</v>
      </c>
      <c r="G6">
        <v>2.5</v>
      </c>
      <c r="H6">
        <v>96410</v>
      </c>
      <c r="I6">
        <v>687</v>
      </c>
      <c r="J6">
        <v>480334</v>
      </c>
      <c r="K6">
        <v>4987755</v>
      </c>
      <c r="L6">
        <v>51.73</v>
      </c>
    </row>
    <row r="7" spans="1:12" x14ac:dyDescent="0.3">
      <c r="A7" t="s">
        <v>15</v>
      </c>
      <c r="B7">
        <v>2010</v>
      </c>
      <c r="C7" t="s">
        <v>16</v>
      </c>
      <c r="D7">
        <v>20</v>
      </c>
      <c r="E7">
        <v>2.6329999999999999E-3</v>
      </c>
      <c r="F7">
        <v>1.3081000000000001E-2</v>
      </c>
      <c r="G7">
        <v>2.5</v>
      </c>
      <c r="H7">
        <v>95723</v>
      </c>
      <c r="I7">
        <v>1252</v>
      </c>
      <c r="J7">
        <v>475487</v>
      </c>
      <c r="K7">
        <v>4507422</v>
      </c>
      <c r="L7">
        <v>47.09</v>
      </c>
    </row>
    <row r="8" spans="1:12" x14ac:dyDescent="0.3">
      <c r="A8" t="s">
        <v>15</v>
      </c>
      <c r="B8">
        <v>2010</v>
      </c>
      <c r="C8" t="s">
        <v>16</v>
      </c>
      <c r="D8">
        <v>25</v>
      </c>
      <c r="E8">
        <v>2.869E-3</v>
      </c>
      <c r="F8">
        <v>1.4241999999999999E-2</v>
      </c>
      <c r="G8">
        <v>2.5</v>
      </c>
      <c r="H8">
        <v>94471</v>
      </c>
      <c r="I8">
        <v>1345</v>
      </c>
      <c r="J8">
        <v>468992</v>
      </c>
      <c r="K8">
        <v>4031935</v>
      </c>
      <c r="L8">
        <v>42.68</v>
      </c>
    </row>
    <row r="9" spans="1:12" x14ac:dyDescent="0.3">
      <c r="A9" t="s">
        <v>15</v>
      </c>
      <c r="B9">
        <v>2010</v>
      </c>
      <c r="C9" t="s">
        <v>16</v>
      </c>
      <c r="D9">
        <v>30</v>
      </c>
      <c r="E9">
        <v>3.9760000000000004E-3</v>
      </c>
      <c r="F9">
        <v>1.9682999999999999E-2</v>
      </c>
      <c r="G9">
        <v>2.5</v>
      </c>
      <c r="H9">
        <v>93126</v>
      </c>
      <c r="I9">
        <v>1833</v>
      </c>
      <c r="J9">
        <v>461046</v>
      </c>
      <c r="K9">
        <v>3562943</v>
      </c>
      <c r="L9">
        <v>38.26</v>
      </c>
    </row>
    <row r="10" spans="1:12" x14ac:dyDescent="0.3">
      <c r="A10" t="s">
        <v>15</v>
      </c>
      <c r="B10">
        <v>2010</v>
      </c>
      <c r="C10" t="s">
        <v>16</v>
      </c>
      <c r="D10">
        <v>35</v>
      </c>
      <c r="E10">
        <v>5.1209999999999997E-3</v>
      </c>
      <c r="F10">
        <v>2.528E-2</v>
      </c>
      <c r="G10">
        <v>2.5</v>
      </c>
      <c r="H10">
        <v>91293</v>
      </c>
      <c r="I10">
        <v>2308</v>
      </c>
      <c r="J10">
        <v>450694</v>
      </c>
      <c r="K10">
        <v>3101896</v>
      </c>
      <c r="L10">
        <v>33.979999999999997</v>
      </c>
    </row>
    <row r="11" spans="1:12" x14ac:dyDescent="0.3">
      <c r="A11" t="s">
        <v>15</v>
      </c>
      <c r="B11">
        <v>2010</v>
      </c>
      <c r="C11" t="s">
        <v>16</v>
      </c>
      <c r="D11">
        <v>40</v>
      </c>
      <c r="E11">
        <v>7.4419999999999998E-3</v>
      </c>
      <c r="F11">
        <v>3.6531000000000001E-2</v>
      </c>
      <c r="G11">
        <v>2.5</v>
      </c>
      <c r="H11">
        <v>88985</v>
      </c>
      <c r="I11">
        <v>3251</v>
      </c>
      <c r="J11">
        <v>436797</v>
      </c>
      <c r="K11">
        <v>2651202</v>
      </c>
      <c r="L11">
        <v>29.79</v>
      </c>
    </row>
    <row r="12" spans="1:12" x14ac:dyDescent="0.3">
      <c r="A12" t="s">
        <v>15</v>
      </c>
      <c r="B12">
        <v>2010</v>
      </c>
      <c r="C12" t="s">
        <v>16</v>
      </c>
      <c r="D12">
        <v>45</v>
      </c>
      <c r="E12">
        <v>1.0200000000000001E-2</v>
      </c>
      <c r="F12">
        <v>4.9734E-2</v>
      </c>
      <c r="G12">
        <v>2.5</v>
      </c>
      <c r="H12">
        <v>85734</v>
      </c>
      <c r="I12">
        <v>4264</v>
      </c>
      <c r="J12">
        <v>418011</v>
      </c>
      <c r="K12">
        <v>2214405</v>
      </c>
      <c r="L12">
        <v>25.83</v>
      </c>
    </row>
    <row r="13" spans="1:12" x14ac:dyDescent="0.3">
      <c r="A13" t="s">
        <v>15</v>
      </c>
      <c r="B13">
        <v>2010</v>
      </c>
      <c r="C13" t="s">
        <v>16</v>
      </c>
      <c r="D13">
        <v>50</v>
      </c>
      <c r="E13">
        <v>1.3854E-2</v>
      </c>
      <c r="F13">
        <v>6.6952999999999999E-2</v>
      </c>
      <c r="G13">
        <v>2.5</v>
      </c>
      <c r="H13">
        <v>81470</v>
      </c>
      <c r="I13">
        <v>5455</v>
      </c>
      <c r="J13">
        <v>393715</v>
      </c>
      <c r="K13">
        <v>1796394</v>
      </c>
      <c r="L13">
        <v>22.05</v>
      </c>
    </row>
    <row r="14" spans="1:12" x14ac:dyDescent="0.3">
      <c r="A14" t="s">
        <v>15</v>
      </c>
      <c r="B14">
        <v>2010</v>
      </c>
      <c r="C14" t="s">
        <v>16</v>
      </c>
      <c r="D14">
        <v>55</v>
      </c>
      <c r="E14">
        <v>1.9182999999999999E-2</v>
      </c>
      <c r="F14">
        <v>9.1526999999999997E-2</v>
      </c>
      <c r="G14">
        <v>2.5</v>
      </c>
      <c r="H14">
        <v>76016</v>
      </c>
      <c r="I14">
        <v>6957</v>
      </c>
      <c r="J14">
        <v>362684</v>
      </c>
      <c r="K14">
        <v>1402679</v>
      </c>
      <c r="L14">
        <v>18.45</v>
      </c>
    </row>
    <row r="15" spans="1:12" x14ac:dyDescent="0.3">
      <c r="A15" t="s">
        <v>15</v>
      </c>
      <c r="B15">
        <v>2010</v>
      </c>
      <c r="C15" t="s">
        <v>16</v>
      </c>
      <c r="D15">
        <v>60</v>
      </c>
      <c r="E15">
        <v>2.8022999999999999E-2</v>
      </c>
      <c r="F15">
        <v>0.13094</v>
      </c>
      <c r="G15">
        <v>2.5</v>
      </c>
      <c r="H15">
        <v>69058</v>
      </c>
      <c r="I15">
        <v>9042</v>
      </c>
      <c r="J15">
        <v>322685</v>
      </c>
      <c r="K15">
        <v>1039995</v>
      </c>
      <c r="L15">
        <v>15.06</v>
      </c>
    </row>
    <row r="16" spans="1:12" x14ac:dyDescent="0.3">
      <c r="A16" t="s">
        <v>15</v>
      </c>
      <c r="B16">
        <v>2010</v>
      </c>
      <c r="C16" t="s">
        <v>16</v>
      </c>
      <c r="D16">
        <v>65</v>
      </c>
      <c r="E16">
        <v>4.2881000000000002E-2</v>
      </c>
      <c r="F16">
        <v>0.19364400000000001</v>
      </c>
      <c r="G16">
        <v>2.5</v>
      </c>
      <c r="H16">
        <v>60016</v>
      </c>
      <c r="I16">
        <v>11622</v>
      </c>
      <c r="J16">
        <v>271024</v>
      </c>
      <c r="K16">
        <v>717310</v>
      </c>
      <c r="L16">
        <v>11.95</v>
      </c>
    </row>
    <row r="17" spans="1:12" x14ac:dyDescent="0.3">
      <c r="A17" t="s">
        <v>15</v>
      </c>
      <c r="B17">
        <v>2010</v>
      </c>
      <c r="C17" t="s">
        <v>16</v>
      </c>
      <c r="D17">
        <v>70</v>
      </c>
      <c r="E17">
        <v>6.0859000000000003E-2</v>
      </c>
      <c r="F17">
        <v>0.26411200000000001</v>
      </c>
      <c r="G17">
        <v>2.5</v>
      </c>
      <c r="H17">
        <v>48394</v>
      </c>
      <c r="I17">
        <v>12781</v>
      </c>
      <c r="J17">
        <v>210016</v>
      </c>
      <c r="K17">
        <v>446286</v>
      </c>
      <c r="L17">
        <v>9.2200000000000006</v>
      </c>
    </row>
    <row r="18" spans="1:12" x14ac:dyDescent="0.3">
      <c r="A18" t="s">
        <v>15</v>
      </c>
      <c r="B18">
        <v>2010</v>
      </c>
      <c r="C18" t="s">
        <v>16</v>
      </c>
      <c r="D18">
        <v>75</v>
      </c>
      <c r="E18">
        <v>0.106586</v>
      </c>
      <c r="F18">
        <v>0.42080099999999998</v>
      </c>
      <c r="G18">
        <v>2.5</v>
      </c>
      <c r="H18">
        <v>35613</v>
      </c>
      <c r="I18">
        <v>14986</v>
      </c>
      <c r="J18">
        <v>140598</v>
      </c>
      <c r="K18">
        <v>236270</v>
      </c>
      <c r="L18">
        <v>6.63</v>
      </c>
    </row>
    <row r="19" spans="1:12" x14ac:dyDescent="0.3">
      <c r="A19" t="s">
        <v>15</v>
      </c>
      <c r="B19">
        <v>2010</v>
      </c>
      <c r="C19" t="s">
        <v>16</v>
      </c>
      <c r="D19">
        <v>80</v>
      </c>
      <c r="E19">
        <v>0.17893800000000001</v>
      </c>
      <c r="F19">
        <v>0.61815799999999999</v>
      </c>
      <c r="G19">
        <v>2.5</v>
      </c>
      <c r="H19">
        <v>20627</v>
      </c>
      <c r="I19">
        <v>12751</v>
      </c>
      <c r="J19">
        <v>71257</v>
      </c>
      <c r="K19">
        <v>95672</v>
      </c>
      <c r="L19">
        <v>4.6399999999999997</v>
      </c>
    </row>
    <row r="20" spans="1:12" x14ac:dyDescent="0.3">
      <c r="A20" t="s">
        <v>15</v>
      </c>
      <c r="B20">
        <v>2010</v>
      </c>
      <c r="C20" t="s">
        <v>16</v>
      </c>
      <c r="D20">
        <v>85</v>
      </c>
      <c r="E20">
        <v>0.3226</v>
      </c>
      <c r="F20">
        <v>1</v>
      </c>
      <c r="G20" t="s">
        <v>17</v>
      </c>
      <c r="H20">
        <v>7876</v>
      </c>
      <c r="I20">
        <v>7876</v>
      </c>
      <c r="J20">
        <v>24415</v>
      </c>
      <c r="K20">
        <v>24415</v>
      </c>
      <c r="L20">
        <v>3.1</v>
      </c>
    </row>
    <row r="21" spans="1:12" x14ac:dyDescent="0.3">
      <c r="A21" s="56" t="s">
        <v>15</v>
      </c>
      <c r="B21" s="56">
        <v>2019</v>
      </c>
      <c r="C21" s="56" t="s">
        <v>16</v>
      </c>
      <c r="D21" s="56">
        <v>0</v>
      </c>
      <c r="E21" s="56">
        <v>2.3310999999999998E-2</v>
      </c>
      <c r="F21" s="56">
        <v>2.2835999999999999E-2</v>
      </c>
      <c r="G21" s="56">
        <v>0.11</v>
      </c>
      <c r="H21" s="58">
        <v>100000</v>
      </c>
      <c r="I21" s="56">
        <v>2284</v>
      </c>
      <c r="J21" s="56">
        <v>97962</v>
      </c>
      <c r="K21" s="56">
        <v>6492687</v>
      </c>
      <c r="L21" s="56">
        <v>64.930000000000007</v>
      </c>
    </row>
    <row r="22" spans="1:12" x14ac:dyDescent="0.3">
      <c r="A22" s="56" t="s">
        <v>15</v>
      </c>
      <c r="B22" s="56">
        <v>2019</v>
      </c>
      <c r="C22" s="56" t="s">
        <v>16</v>
      </c>
      <c r="D22" s="56">
        <v>1</v>
      </c>
      <c r="E22" s="56">
        <v>9.2900000000000003E-4</v>
      </c>
      <c r="F22" s="56">
        <v>3.7090000000000001E-3</v>
      </c>
      <c r="G22" s="56">
        <v>1.59</v>
      </c>
      <c r="H22" s="56">
        <v>97716</v>
      </c>
      <c r="I22" s="56">
        <v>362</v>
      </c>
      <c r="J22" s="56">
        <v>389991</v>
      </c>
      <c r="K22" s="56">
        <v>6394725</v>
      </c>
      <c r="L22" s="56">
        <v>65.44</v>
      </c>
    </row>
    <row r="23" spans="1:12" x14ac:dyDescent="0.3">
      <c r="A23" s="56" t="s">
        <v>15</v>
      </c>
      <c r="B23" s="56">
        <v>2019</v>
      </c>
      <c r="C23" s="56" t="s">
        <v>16</v>
      </c>
      <c r="D23" s="56">
        <v>5</v>
      </c>
      <c r="E23" s="56">
        <v>3.8299999999999999E-4</v>
      </c>
      <c r="F23" s="56">
        <v>1.915E-3</v>
      </c>
      <c r="G23" s="56">
        <v>2.5</v>
      </c>
      <c r="H23" s="56">
        <v>97354</v>
      </c>
      <c r="I23" s="56">
        <v>186</v>
      </c>
      <c r="J23" s="56">
        <v>486304</v>
      </c>
      <c r="K23" s="56">
        <v>6004734</v>
      </c>
      <c r="L23" s="56">
        <v>61.68</v>
      </c>
    </row>
    <row r="24" spans="1:12" x14ac:dyDescent="0.3">
      <c r="A24" s="56" t="s">
        <v>15</v>
      </c>
      <c r="B24" s="56">
        <v>2019</v>
      </c>
      <c r="C24" s="56" t="s">
        <v>16</v>
      </c>
      <c r="D24" s="56">
        <v>10</v>
      </c>
      <c r="E24" s="56">
        <v>4.9100000000000001E-4</v>
      </c>
      <c r="F24" s="56">
        <v>2.4510000000000001E-3</v>
      </c>
      <c r="G24" s="56">
        <v>2.5</v>
      </c>
      <c r="H24" s="56">
        <v>97168</v>
      </c>
      <c r="I24" s="56">
        <v>238</v>
      </c>
      <c r="J24" s="56">
        <v>485242</v>
      </c>
      <c r="K24" s="56">
        <v>5518431</v>
      </c>
      <c r="L24" s="56">
        <v>56.79</v>
      </c>
    </row>
    <row r="25" spans="1:12" x14ac:dyDescent="0.3">
      <c r="A25" s="56" t="s">
        <v>15</v>
      </c>
      <c r="B25" s="56">
        <v>2019</v>
      </c>
      <c r="C25" s="56" t="s">
        <v>16</v>
      </c>
      <c r="D25" s="56">
        <v>15</v>
      </c>
      <c r="E25" s="56">
        <v>1.3290000000000001E-3</v>
      </c>
      <c r="F25" s="56">
        <v>6.6210000000000001E-3</v>
      </c>
      <c r="G25" s="56">
        <v>2.5</v>
      </c>
      <c r="H25" s="56">
        <v>96929</v>
      </c>
      <c r="I25" s="56">
        <v>642</v>
      </c>
      <c r="J25" s="56">
        <v>483042</v>
      </c>
      <c r="K25" s="56">
        <v>5033188</v>
      </c>
      <c r="L25" s="56">
        <v>51.93</v>
      </c>
    </row>
    <row r="26" spans="1:12" x14ac:dyDescent="0.3">
      <c r="A26" s="56" t="s">
        <v>15</v>
      </c>
      <c r="B26" s="56">
        <v>2019</v>
      </c>
      <c r="C26" s="56" t="s">
        <v>16</v>
      </c>
      <c r="D26" s="56">
        <v>20</v>
      </c>
      <c r="E26" s="56">
        <v>2.4109999999999999E-3</v>
      </c>
      <c r="F26" s="56">
        <v>1.1983000000000001E-2</v>
      </c>
      <c r="G26" s="56">
        <v>2.5</v>
      </c>
      <c r="H26" s="56">
        <v>96288</v>
      </c>
      <c r="I26" s="56">
        <v>1154</v>
      </c>
      <c r="J26" s="56">
        <v>478554</v>
      </c>
      <c r="K26" s="56">
        <v>4550146</v>
      </c>
      <c r="L26" s="56">
        <v>47.26</v>
      </c>
    </row>
    <row r="27" spans="1:12" x14ac:dyDescent="0.3">
      <c r="A27" s="56" t="s">
        <v>15</v>
      </c>
      <c r="B27" s="56">
        <v>2019</v>
      </c>
      <c r="C27" s="56" t="s">
        <v>16</v>
      </c>
      <c r="D27" s="56">
        <v>25</v>
      </c>
      <c r="E27" s="56">
        <v>3.2230000000000002E-3</v>
      </c>
      <c r="F27" s="56">
        <v>1.5986E-2</v>
      </c>
      <c r="G27" s="56">
        <v>2.5</v>
      </c>
      <c r="H27" s="56">
        <v>95134</v>
      </c>
      <c r="I27" s="56">
        <v>1521</v>
      </c>
      <c r="J27" s="56">
        <v>471867</v>
      </c>
      <c r="K27" s="56">
        <v>4071592</v>
      </c>
      <c r="L27" s="56">
        <v>42.8</v>
      </c>
    </row>
    <row r="28" spans="1:12" x14ac:dyDescent="0.3">
      <c r="A28" s="56" t="s">
        <v>15</v>
      </c>
      <c r="B28" s="56">
        <v>2019</v>
      </c>
      <c r="C28" s="56" t="s">
        <v>16</v>
      </c>
      <c r="D28" s="56">
        <v>30</v>
      </c>
      <c r="E28" s="56">
        <v>4.1339999999999997E-3</v>
      </c>
      <c r="F28" s="56">
        <v>2.0458E-2</v>
      </c>
      <c r="G28" s="56">
        <v>2.5</v>
      </c>
      <c r="H28" s="56">
        <v>93613</v>
      </c>
      <c r="I28" s="56">
        <v>1915</v>
      </c>
      <c r="J28" s="56">
        <v>463277</v>
      </c>
      <c r="K28" s="56">
        <v>3599725</v>
      </c>
      <c r="L28" s="56">
        <v>38.450000000000003</v>
      </c>
    </row>
    <row r="29" spans="1:12" x14ac:dyDescent="0.3">
      <c r="A29" s="56" t="s">
        <v>15</v>
      </c>
      <c r="B29" s="56">
        <v>2019</v>
      </c>
      <c r="C29" s="56" t="s">
        <v>16</v>
      </c>
      <c r="D29" s="56">
        <v>35</v>
      </c>
      <c r="E29" s="56">
        <v>5.7029999999999997E-3</v>
      </c>
      <c r="F29" s="56">
        <v>2.8112999999999999E-2</v>
      </c>
      <c r="G29" s="56">
        <v>2.5</v>
      </c>
      <c r="H29" s="56">
        <v>91698</v>
      </c>
      <c r="I29" s="56">
        <v>2578</v>
      </c>
      <c r="J29" s="56">
        <v>452044</v>
      </c>
      <c r="K29" s="56">
        <v>3136449</v>
      </c>
      <c r="L29" s="56">
        <v>34.200000000000003</v>
      </c>
    </row>
    <row r="30" spans="1:12" x14ac:dyDescent="0.3">
      <c r="A30" s="56" t="s">
        <v>15</v>
      </c>
      <c r="B30" s="56">
        <v>2019</v>
      </c>
      <c r="C30" s="56" t="s">
        <v>16</v>
      </c>
      <c r="D30" s="56">
        <v>40</v>
      </c>
      <c r="E30" s="56">
        <v>7.2040000000000003E-3</v>
      </c>
      <c r="F30" s="56">
        <v>3.5381999999999997E-2</v>
      </c>
      <c r="G30" s="56">
        <v>2.5</v>
      </c>
      <c r="H30" s="56">
        <v>89120</v>
      </c>
      <c r="I30" s="56">
        <v>3153</v>
      </c>
      <c r="J30" s="56">
        <v>437717</v>
      </c>
      <c r="K30" s="56">
        <v>2684404</v>
      </c>
      <c r="L30" s="56">
        <v>30.12</v>
      </c>
    </row>
    <row r="31" spans="1:12" x14ac:dyDescent="0.3">
      <c r="A31" s="56" t="s">
        <v>15</v>
      </c>
      <c r="B31" s="56">
        <v>2019</v>
      </c>
      <c r="C31" s="56" t="s">
        <v>16</v>
      </c>
      <c r="D31" s="56">
        <v>45</v>
      </c>
      <c r="E31" s="56">
        <v>9.7970000000000002E-3</v>
      </c>
      <c r="F31" s="56">
        <v>4.7814000000000002E-2</v>
      </c>
      <c r="G31" s="56">
        <v>2.5</v>
      </c>
      <c r="H31" s="56">
        <v>85967</v>
      </c>
      <c r="I31" s="56">
        <v>4110</v>
      </c>
      <c r="J31" s="56">
        <v>419557</v>
      </c>
      <c r="K31" s="56">
        <v>2246688</v>
      </c>
      <c r="L31" s="56">
        <v>26.13</v>
      </c>
    </row>
    <row r="32" spans="1:12" x14ac:dyDescent="0.3">
      <c r="A32" s="56" t="s">
        <v>15</v>
      </c>
      <c r="B32" s="56">
        <v>2019</v>
      </c>
      <c r="C32" s="56" t="s">
        <v>16</v>
      </c>
      <c r="D32" s="56">
        <v>50</v>
      </c>
      <c r="E32" s="56">
        <v>1.3880999999999999E-2</v>
      </c>
      <c r="F32" s="56">
        <v>6.7080000000000001E-2</v>
      </c>
      <c r="G32" s="56">
        <v>2.5</v>
      </c>
      <c r="H32" s="56">
        <v>81856</v>
      </c>
      <c r="I32" s="56">
        <v>5491</v>
      </c>
      <c r="J32" s="56">
        <v>395554</v>
      </c>
      <c r="K32" s="56">
        <v>1827130</v>
      </c>
      <c r="L32" s="56">
        <v>22.32</v>
      </c>
    </row>
    <row r="33" spans="1:12" x14ac:dyDescent="0.3">
      <c r="A33" s="56" t="s">
        <v>15</v>
      </c>
      <c r="B33" s="56">
        <v>2019</v>
      </c>
      <c r="C33" s="56" t="s">
        <v>16</v>
      </c>
      <c r="D33" s="56">
        <v>55</v>
      </c>
      <c r="E33" s="56">
        <v>2.0955000000000001E-2</v>
      </c>
      <c r="F33" s="56">
        <v>9.9560999999999997E-2</v>
      </c>
      <c r="G33" s="56">
        <v>2.5</v>
      </c>
      <c r="H33" s="56">
        <v>76365</v>
      </c>
      <c r="I33" s="56">
        <v>7603</v>
      </c>
      <c r="J33" s="56">
        <v>362819</v>
      </c>
      <c r="K33" s="56">
        <v>1431576</v>
      </c>
      <c r="L33" s="56">
        <v>18.75</v>
      </c>
    </row>
    <row r="34" spans="1:12" x14ac:dyDescent="0.3">
      <c r="A34" s="56" t="s">
        <v>15</v>
      </c>
      <c r="B34" s="56">
        <v>2019</v>
      </c>
      <c r="C34" s="56" t="s">
        <v>16</v>
      </c>
      <c r="D34" s="56">
        <v>60</v>
      </c>
      <c r="E34" s="56">
        <v>2.8198999999999998E-2</v>
      </c>
      <c r="F34" s="56">
        <v>0.13170899999999999</v>
      </c>
      <c r="G34" s="56">
        <v>2.5</v>
      </c>
      <c r="H34" s="56">
        <v>68762</v>
      </c>
      <c r="I34" s="56">
        <v>9057</v>
      </c>
      <c r="J34" s="56">
        <v>321170</v>
      </c>
      <c r="K34" s="56">
        <v>1068757</v>
      </c>
      <c r="L34" s="56">
        <v>15.54</v>
      </c>
    </row>
    <row r="35" spans="1:12" x14ac:dyDescent="0.3">
      <c r="A35" s="56" t="s">
        <v>15</v>
      </c>
      <c r="B35" s="56">
        <v>2019</v>
      </c>
      <c r="C35" s="56" t="s">
        <v>16</v>
      </c>
      <c r="D35" s="56">
        <v>65</v>
      </c>
      <c r="E35" s="56">
        <v>3.9691999999999998E-2</v>
      </c>
      <c r="F35" s="56">
        <v>0.18054300000000001</v>
      </c>
      <c r="G35" s="56">
        <v>2.5</v>
      </c>
      <c r="H35" s="56">
        <v>59706</v>
      </c>
      <c r="I35" s="56">
        <v>10779</v>
      </c>
      <c r="J35" s="56">
        <v>271580</v>
      </c>
      <c r="K35" s="56">
        <v>747587</v>
      </c>
      <c r="L35" s="56">
        <v>12.52</v>
      </c>
    </row>
    <row r="36" spans="1:12" x14ac:dyDescent="0.3">
      <c r="A36" s="56" t="s">
        <v>15</v>
      </c>
      <c r="B36" s="56">
        <v>2019</v>
      </c>
      <c r="C36" s="56" t="s">
        <v>16</v>
      </c>
      <c r="D36" s="56">
        <v>70</v>
      </c>
      <c r="E36" s="56">
        <v>6.1885000000000003E-2</v>
      </c>
      <c r="F36" s="56">
        <v>0.26796900000000001</v>
      </c>
      <c r="G36" s="56">
        <v>2.5</v>
      </c>
      <c r="H36" s="56">
        <v>48926</v>
      </c>
      <c r="I36" s="56">
        <v>13111</v>
      </c>
      <c r="J36" s="56">
        <v>211854</v>
      </c>
      <c r="K36" s="56">
        <v>476007</v>
      </c>
      <c r="L36" s="56">
        <v>9.73</v>
      </c>
    </row>
    <row r="37" spans="1:12" x14ac:dyDescent="0.3">
      <c r="A37" s="56" t="s">
        <v>15</v>
      </c>
      <c r="B37" s="56">
        <v>2019</v>
      </c>
      <c r="C37" s="56" t="s">
        <v>16</v>
      </c>
      <c r="D37" s="56">
        <v>75</v>
      </c>
      <c r="E37" s="56">
        <v>8.9522000000000004E-2</v>
      </c>
      <c r="F37" s="56">
        <v>0.36575400000000002</v>
      </c>
      <c r="G37" s="56">
        <v>2.5</v>
      </c>
      <c r="H37" s="56">
        <v>35816</v>
      </c>
      <c r="I37" s="56">
        <v>13100</v>
      </c>
      <c r="J37" s="56">
        <v>146329</v>
      </c>
      <c r="K37" s="56">
        <v>264153</v>
      </c>
      <c r="L37" s="56">
        <v>7.38</v>
      </c>
    </row>
    <row r="38" spans="1:12" x14ac:dyDescent="0.3">
      <c r="A38" s="56" t="s">
        <v>15</v>
      </c>
      <c r="B38" s="56">
        <v>2019</v>
      </c>
      <c r="C38" s="56" t="s">
        <v>16</v>
      </c>
      <c r="D38" s="56">
        <v>80</v>
      </c>
      <c r="E38" s="56">
        <v>0.148757</v>
      </c>
      <c r="F38" s="56">
        <v>0.542161</v>
      </c>
      <c r="G38" s="56">
        <v>2.5</v>
      </c>
      <c r="H38" s="56">
        <v>22716</v>
      </c>
      <c r="I38" s="56">
        <v>12316</v>
      </c>
      <c r="J38" s="56">
        <v>82790</v>
      </c>
      <c r="K38" s="56">
        <v>117824</v>
      </c>
      <c r="L38" s="56">
        <v>5.19</v>
      </c>
    </row>
    <row r="39" spans="1:12" x14ac:dyDescent="0.3">
      <c r="A39" s="56" t="s">
        <v>15</v>
      </c>
      <c r="B39" s="56">
        <v>2019</v>
      </c>
      <c r="C39" s="56" t="s">
        <v>16</v>
      </c>
      <c r="D39" s="56">
        <v>85</v>
      </c>
      <c r="E39" s="56">
        <v>0.29686099999999999</v>
      </c>
      <c r="F39" s="56">
        <v>1</v>
      </c>
      <c r="G39" s="56" t="s">
        <v>17</v>
      </c>
      <c r="H39" s="56">
        <v>10400</v>
      </c>
      <c r="I39" s="56">
        <v>10400</v>
      </c>
      <c r="J39" s="56">
        <v>35034</v>
      </c>
      <c r="K39" s="56">
        <v>35034</v>
      </c>
      <c r="L39" s="56">
        <v>3.37</v>
      </c>
    </row>
    <row r="40" spans="1:12" x14ac:dyDescent="0.3">
      <c r="A40" t="s">
        <v>15</v>
      </c>
      <c r="B40">
        <v>2021</v>
      </c>
      <c r="C40" t="s">
        <v>16</v>
      </c>
      <c r="D40">
        <v>0</v>
      </c>
      <c r="E40">
        <v>1.9123000000000001E-2</v>
      </c>
      <c r="F40">
        <v>1.8797999999999999E-2</v>
      </c>
      <c r="G40">
        <v>0.1</v>
      </c>
      <c r="H40" s="1">
        <v>100000</v>
      </c>
      <c r="I40">
        <v>1880</v>
      </c>
      <c r="J40">
        <v>98301</v>
      </c>
      <c r="K40">
        <v>6072202</v>
      </c>
      <c r="L40">
        <v>60.72</v>
      </c>
    </row>
    <row r="41" spans="1:12" x14ac:dyDescent="0.3">
      <c r="A41" t="s">
        <v>15</v>
      </c>
      <c r="B41">
        <v>2021</v>
      </c>
      <c r="C41" t="s">
        <v>16</v>
      </c>
      <c r="D41">
        <v>1</v>
      </c>
      <c r="E41">
        <v>1.163E-3</v>
      </c>
      <c r="F41">
        <v>4.64E-3</v>
      </c>
      <c r="G41">
        <v>1.6</v>
      </c>
      <c r="H41">
        <v>98120</v>
      </c>
      <c r="I41">
        <v>455</v>
      </c>
      <c r="J41">
        <v>391387</v>
      </c>
      <c r="K41">
        <v>5973901</v>
      </c>
      <c r="L41">
        <v>60.88</v>
      </c>
    </row>
    <row r="42" spans="1:12" x14ac:dyDescent="0.3">
      <c r="A42" t="s">
        <v>15</v>
      </c>
      <c r="B42">
        <v>2021</v>
      </c>
      <c r="C42" t="s">
        <v>16</v>
      </c>
      <c r="D42">
        <v>5</v>
      </c>
      <c r="E42">
        <v>3.1799999999999998E-4</v>
      </c>
      <c r="F42">
        <v>1.5900000000000001E-3</v>
      </c>
      <c r="G42">
        <v>2.5</v>
      </c>
      <c r="H42">
        <v>97665</v>
      </c>
      <c r="I42">
        <v>155</v>
      </c>
      <c r="J42">
        <v>487936</v>
      </c>
      <c r="K42">
        <v>5582514</v>
      </c>
      <c r="L42">
        <v>57.16</v>
      </c>
    </row>
    <row r="43" spans="1:12" x14ac:dyDescent="0.3">
      <c r="A43" t="s">
        <v>15</v>
      </c>
      <c r="B43">
        <v>2021</v>
      </c>
      <c r="C43" t="s">
        <v>16</v>
      </c>
      <c r="D43">
        <v>10</v>
      </c>
      <c r="E43">
        <v>5.1900000000000004E-4</v>
      </c>
      <c r="F43">
        <v>2.5920000000000001E-3</v>
      </c>
      <c r="G43">
        <v>2.5</v>
      </c>
      <c r="H43">
        <v>97510</v>
      </c>
      <c r="I43">
        <v>253</v>
      </c>
      <c r="J43">
        <v>486916</v>
      </c>
      <c r="K43">
        <v>5094578</v>
      </c>
      <c r="L43">
        <v>52.25</v>
      </c>
    </row>
    <row r="44" spans="1:12" x14ac:dyDescent="0.3">
      <c r="A44" t="s">
        <v>15</v>
      </c>
      <c r="B44">
        <v>2021</v>
      </c>
      <c r="C44" t="s">
        <v>16</v>
      </c>
      <c r="D44">
        <v>15</v>
      </c>
      <c r="E44">
        <v>1.382E-3</v>
      </c>
      <c r="F44">
        <v>6.8849999999999996E-3</v>
      </c>
      <c r="G44">
        <v>2.5</v>
      </c>
      <c r="H44">
        <v>97257</v>
      </c>
      <c r="I44">
        <v>670</v>
      </c>
      <c r="J44">
        <v>484610</v>
      </c>
      <c r="K44">
        <v>4607662</v>
      </c>
      <c r="L44">
        <v>47.38</v>
      </c>
    </row>
    <row r="45" spans="1:12" x14ac:dyDescent="0.3">
      <c r="A45" t="s">
        <v>15</v>
      </c>
      <c r="B45">
        <v>2021</v>
      </c>
      <c r="C45" t="s">
        <v>16</v>
      </c>
      <c r="D45">
        <v>20</v>
      </c>
      <c r="E45">
        <v>3.016E-3</v>
      </c>
      <c r="F45">
        <v>1.4969E-2</v>
      </c>
      <c r="G45">
        <v>2.5</v>
      </c>
      <c r="H45">
        <v>96587</v>
      </c>
      <c r="I45">
        <v>1446</v>
      </c>
      <c r="J45">
        <v>479322</v>
      </c>
      <c r="K45">
        <v>4123052</v>
      </c>
      <c r="L45">
        <v>42.69</v>
      </c>
    </row>
    <row r="46" spans="1:12" x14ac:dyDescent="0.3">
      <c r="A46" t="s">
        <v>15</v>
      </c>
      <c r="B46">
        <v>2021</v>
      </c>
      <c r="C46" t="s">
        <v>16</v>
      </c>
      <c r="D46">
        <v>25</v>
      </c>
      <c r="E46">
        <v>4.4130000000000003E-3</v>
      </c>
      <c r="F46">
        <v>2.1824E-2</v>
      </c>
      <c r="G46">
        <v>2.5</v>
      </c>
      <c r="H46">
        <v>95141</v>
      </c>
      <c r="I46">
        <v>2076</v>
      </c>
      <c r="J46">
        <v>470516</v>
      </c>
      <c r="K46">
        <v>3643730</v>
      </c>
      <c r="L46">
        <v>38.299999999999997</v>
      </c>
    </row>
    <row r="47" spans="1:12" x14ac:dyDescent="0.3">
      <c r="A47" t="s">
        <v>15</v>
      </c>
      <c r="B47">
        <v>2021</v>
      </c>
      <c r="C47" t="s">
        <v>16</v>
      </c>
      <c r="D47">
        <v>30</v>
      </c>
      <c r="E47">
        <v>5.3889999999999997E-3</v>
      </c>
      <c r="F47">
        <v>2.6585000000000001E-2</v>
      </c>
      <c r="G47">
        <v>2.5</v>
      </c>
      <c r="H47">
        <v>93065</v>
      </c>
      <c r="I47">
        <v>2474</v>
      </c>
      <c r="J47">
        <v>459140</v>
      </c>
      <c r="K47">
        <v>3173214</v>
      </c>
      <c r="L47">
        <v>34.1</v>
      </c>
    </row>
    <row r="48" spans="1:12" x14ac:dyDescent="0.3">
      <c r="A48" t="s">
        <v>15</v>
      </c>
      <c r="B48">
        <v>2021</v>
      </c>
      <c r="C48" t="s">
        <v>16</v>
      </c>
      <c r="D48">
        <v>35</v>
      </c>
      <c r="E48">
        <v>7.8019999999999999E-3</v>
      </c>
      <c r="F48">
        <v>3.8261999999999997E-2</v>
      </c>
      <c r="G48">
        <v>2.5</v>
      </c>
      <c r="H48">
        <v>90591</v>
      </c>
      <c r="I48">
        <v>3466</v>
      </c>
      <c r="J48">
        <v>444289</v>
      </c>
      <c r="K48">
        <v>2714074</v>
      </c>
      <c r="L48">
        <v>29.96</v>
      </c>
    </row>
    <row r="49" spans="1:12" x14ac:dyDescent="0.3">
      <c r="A49" t="s">
        <v>15</v>
      </c>
      <c r="B49">
        <v>2021</v>
      </c>
      <c r="C49" t="s">
        <v>16</v>
      </c>
      <c r="D49">
        <v>40</v>
      </c>
      <c r="E49">
        <v>1.0239E-2</v>
      </c>
      <c r="F49">
        <v>4.9917000000000003E-2</v>
      </c>
      <c r="G49">
        <v>2.5</v>
      </c>
      <c r="H49">
        <v>87125</v>
      </c>
      <c r="I49">
        <v>4349</v>
      </c>
      <c r="J49">
        <v>424751</v>
      </c>
      <c r="K49">
        <v>2269784</v>
      </c>
      <c r="L49">
        <v>26.05</v>
      </c>
    </row>
    <row r="50" spans="1:12" x14ac:dyDescent="0.3">
      <c r="A50" t="s">
        <v>15</v>
      </c>
      <c r="B50">
        <v>2021</v>
      </c>
      <c r="C50" t="s">
        <v>16</v>
      </c>
      <c r="D50">
        <v>45</v>
      </c>
      <c r="E50">
        <v>1.5866999999999999E-2</v>
      </c>
      <c r="F50">
        <v>7.6309000000000002E-2</v>
      </c>
      <c r="G50">
        <v>2.5</v>
      </c>
      <c r="H50">
        <v>82776</v>
      </c>
      <c r="I50">
        <v>6317</v>
      </c>
      <c r="J50">
        <v>398087</v>
      </c>
      <c r="K50">
        <v>1845033</v>
      </c>
      <c r="L50">
        <v>22.29</v>
      </c>
    </row>
    <row r="51" spans="1:12" x14ac:dyDescent="0.3">
      <c r="A51" t="s">
        <v>15</v>
      </c>
      <c r="B51">
        <v>2021</v>
      </c>
      <c r="C51" t="s">
        <v>16</v>
      </c>
      <c r="D51">
        <v>50</v>
      </c>
      <c r="E51">
        <v>2.0296000000000002E-2</v>
      </c>
      <c r="F51">
        <v>9.6579999999999999E-2</v>
      </c>
      <c r="G51">
        <v>2.5</v>
      </c>
      <c r="H51">
        <v>76459</v>
      </c>
      <c r="I51">
        <v>7384</v>
      </c>
      <c r="J51">
        <v>363835</v>
      </c>
      <c r="K51">
        <v>1446945</v>
      </c>
      <c r="L51">
        <v>18.920000000000002</v>
      </c>
    </row>
    <row r="52" spans="1:12" x14ac:dyDescent="0.3">
      <c r="A52" t="s">
        <v>15</v>
      </c>
      <c r="B52">
        <v>2021</v>
      </c>
      <c r="C52" t="s">
        <v>16</v>
      </c>
      <c r="D52">
        <v>55</v>
      </c>
      <c r="E52">
        <v>2.9714999999999998E-2</v>
      </c>
      <c r="F52">
        <v>0.13830100000000001</v>
      </c>
      <c r="G52">
        <v>2.5</v>
      </c>
      <c r="H52">
        <v>69075</v>
      </c>
      <c r="I52">
        <v>9553</v>
      </c>
      <c r="J52">
        <v>321491</v>
      </c>
      <c r="K52">
        <v>1083110</v>
      </c>
      <c r="L52">
        <v>15.68</v>
      </c>
    </row>
    <row r="53" spans="1:12" x14ac:dyDescent="0.3">
      <c r="A53" t="s">
        <v>15</v>
      </c>
      <c r="B53">
        <v>2021</v>
      </c>
      <c r="C53" t="s">
        <v>16</v>
      </c>
      <c r="D53">
        <v>60</v>
      </c>
      <c r="E53">
        <v>4.1910999999999997E-2</v>
      </c>
      <c r="F53">
        <v>0.18967899999999999</v>
      </c>
      <c r="G53">
        <v>2.5</v>
      </c>
      <c r="H53">
        <v>59522</v>
      </c>
      <c r="I53">
        <v>11290</v>
      </c>
      <c r="J53">
        <v>269384</v>
      </c>
      <c r="K53">
        <v>761619</v>
      </c>
      <c r="L53">
        <v>12.8</v>
      </c>
    </row>
    <row r="54" spans="1:12" x14ac:dyDescent="0.3">
      <c r="A54" t="s">
        <v>15</v>
      </c>
      <c r="B54">
        <v>2021</v>
      </c>
      <c r="C54" t="s">
        <v>16</v>
      </c>
      <c r="D54">
        <v>65</v>
      </c>
      <c r="E54">
        <v>5.7178E-2</v>
      </c>
      <c r="F54">
        <v>0.25013299999999999</v>
      </c>
      <c r="G54">
        <v>2.5</v>
      </c>
      <c r="H54">
        <v>48232</v>
      </c>
      <c r="I54">
        <v>12064</v>
      </c>
      <c r="J54">
        <v>210998</v>
      </c>
      <c r="K54">
        <v>492236</v>
      </c>
      <c r="L54">
        <v>10.210000000000001</v>
      </c>
    </row>
    <row r="55" spans="1:12" x14ac:dyDescent="0.3">
      <c r="A55" t="s">
        <v>15</v>
      </c>
      <c r="B55">
        <v>2021</v>
      </c>
      <c r="C55" t="s">
        <v>16</v>
      </c>
      <c r="D55">
        <v>70</v>
      </c>
      <c r="E55">
        <v>9.1675000000000006E-2</v>
      </c>
      <c r="F55">
        <v>0.37290899999999999</v>
      </c>
      <c r="G55">
        <v>2.5</v>
      </c>
      <c r="H55">
        <v>36167</v>
      </c>
      <c r="I55">
        <v>13487</v>
      </c>
      <c r="J55">
        <v>147119</v>
      </c>
      <c r="K55">
        <v>281238</v>
      </c>
      <c r="L55">
        <v>7.78</v>
      </c>
    </row>
    <row r="56" spans="1:12" x14ac:dyDescent="0.3">
      <c r="A56" t="s">
        <v>15</v>
      </c>
      <c r="B56">
        <v>2021</v>
      </c>
      <c r="C56" t="s">
        <v>16</v>
      </c>
      <c r="D56">
        <v>75</v>
      </c>
      <c r="E56">
        <v>0.12897600000000001</v>
      </c>
      <c r="F56">
        <v>0.48764400000000002</v>
      </c>
      <c r="G56">
        <v>2.5</v>
      </c>
      <c r="H56">
        <v>22680</v>
      </c>
      <c r="I56">
        <v>11060</v>
      </c>
      <c r="J56">
        <v>85751</v>
      </c>
      <c r="K56">
        <v>134119</v>
      </c>
      <c r="L56">
        <v>5.91</v>
      </c>
    </row>
    <row r="57" spans="1:12" x14ac:dyDescent="0.3">
      <c r="A57" t="s">
        <v>15</v>
      </c>
      <c r="B57">
        <v>2021</v>
      </c>
      <c r="C57" t="s">
        <v>16</v>
      </c>
      <c r="D57">
        <v>80</v>
      </c>
      <c r="E57">
        <v>0.20443500000000001</v>
      </c>
      <c r="F57">
        <v>0.67645100000000002</v>
      </c>
      <c r="G57">
        <v>2.5</v>
      </c>
      <c r="H57">
        <v>11620</v>
      </c>
      <c r="I57">
        <v>7861</v>
      </c>
      <c r="J57">
        <v>38450</v>
      </c>
      <c r="K57">
        <v>48368</v>
      </c>
      <c r="L57">
        <v>4.16</v>
      </c>
    </row>
    <row r="58" spans="1:12" x14ac:dyDescent="0.3">
      <c r="A58" t="s">
        <v>15</v>
      </c>
      <c r="B58">
        <v>2021</v>
      </c>
      <c r="C58" t="s">
        <v>16</v>
      </c>
      <c r="D58">
        <v>85</v>
      </c>
      <c r="E58">
        <v>0.37910300000000002</v>
      </c>
      <c r="F58">
        <v>1</v>
      </c>
      <c r="G58" t="s">
        <v>17</v>
      </c>
      <c r="H58">
        <v>3760</v>
      </c>
      <c r="I58">
        <v>3760</v>
      </c>
      <c r="J58">
        <v>9918</v>
      </c>
      <c r="K58">
        <v>9918</v>
      </c>
      <c r="L58">
        <v>2.64</v>
      </c>
    </row>
    <row r="59" spans="1:12" x14ac:dyDescent="0.3">
      <c r="A59" t="s">
        <v>15</v>
      </c>
      <c r="B59">
        <v>2010</v>
      </c>
      <c r="C59" t="s">
        <v>18</v>
      </c>
      <c r="D59">
        <v>0</v>
      </c>
      <c r="E59">
        <v>2.2963999999999998E-2</v>
      </c>
      <c r="F59">
        <v>2.2508E-2</v>
      </c>
      <c r="G59">
        <v>0.12</v>
      </c>
      <c r="H59" s="1">
        <v>100000</v>
      </c>
      <c r="I59">
        <v>2251</v>
      </c>
      <c r="J59">
        <v>98013</v>
      </c>
      <c r="K59">
        <v>6959631</v>
      </c>
      <c r="L59">
        <v>69.599999999999994</v>
      </c>
    </row>
    <row r="60" spans="1:12" x14ac:dyDescent="0.3">
      <c r="A60" t="s">
        <v>15</v>
      </c>
      <c r="B60">
        <v>2010</v>
      </c>
      <c r="C60" t="s">
        <v>18</v>
      </c>
      <c r="D60">
        <v>1</v>
      </c>
      <c r="E60">
        <v>1.1429999999999999E-3</v>
      </c>
      <c r="F60">
        <v>4.5589999999999997E-3</v>
      </c>
      <c r="G60">
        <v>1.49</v>
      </c>
      <c r="H60">
        <v>97749</v>
      </c>
      <c r="I60">
        <v>446</v>
      </c>
      <c r="J60">
        <v>389877</v>
      </c>
      <c r="K60">
        <v>6861618</v>
      </c>
      <c r="L60">
        <v>70.2</v>
      </c>
    </row>
    <row r="61" spans="1:12" x14ac:dyDescent="0.3">
      <c r="A61" t="s">
        <v>15</v>
      </c>
      <c r="B61">
        <v>2010</v>
      </c>
      <c r="C61" t="s">
        <v>18</v>
      </c>
      <c r="D61">
        <v>5</v>
      </c>
      <c r="E61">
        <v>4.8099999999999998E-4</v>
      </c>
      <c r="F61">
        <v>2.4009999999999999E-3</v>
      </c>
      <c r="G61">
        <v>2.5</v>
      </c>
      <c r="H61">
        <v>97304</v>
      </c>
      <c r="I61">
        <v>234</v>
      </c>
      <c r="J61">
        <v>485934</v>
      </c>
      <c r="K61">
        <v>6471741</v>
      </c>
      <c r="L61">
        <v>66.510000000000005</v>
      </c>
    </row>
    <row r="62" spans="1:12" x14ac:dyDescent="0.3">
      <c r="A62" t="s">
        <v>15</v>
      </c>
      <c r="B62">
        <v>2010</v>
      </c>
      <c r="C62" t="s">
        <v>18</v>
      </c>
      <c r="D62">
        <v>10</v>
      </c>
      <c r="E62">
        <v>4.8799999999999999E-4</v>
      </c>
      <c r="F62">
        <v>2.4380000000000001E-3</v>
      </c>
      <c r="G62">
        <v>2.5</v>
      </c>
      <c r="H62">
        <v>97070</v>
      </c>
      <c r="I62">
        <v>237</v>
      </c>
      <c r="J62">
        <v>484758</v>
      </c>
      <c r="K62">
        <v>5985807</v>
      </c>
      <c r="L62">
        <v>61.66</v>
      </c>
    </row>
    <row r="63" spans="1:12" x14ac:dyDescent="0.3">
      <c r="A63" t="s">
        <v>15</v>
      </c>
      <c r="B63">
        <v>2010</v>
      </c>
      <c r="C63" t="s">
        <v>18</v>
      </c>
      <c r="D63">
        <v>15</v>
      </c>
      <c r="E63">
        <v>7.0899999999999999E-4</v>
      </c>
      <c r="F63">
        <v>3.5400000000000002E-3</v>
      </c>
      <c r="G63">
        <v>2.5</v>
      </c>
      <c r="H63">
        <v>96833</v>
      </c>
      <c r="I63">
        <v>343</v>
      </c>
      <c r="J63">
        <v>483310</v>
      </c>
      <c r="K63">
        <v>5501049</v>
      </c>
      <c r="L63">
        <v>56.81</v>
      </c>
    </row>
    <row r="64" spans="1:12" x14ac:dyDescent="0.3">
      <c r="A64" t="s">
        <v>15</v>
      </c>
      <c r="B64">
        <v>2010</v>
      </c>
      <c r="C64" t="s">
        <v>18</v>
      </c>
      <c r="D64">
        <v>20</v>
      </c>
      <c r="E64">
        <v>7.4700000000000005E-4</v>
      </c>
      <c r="F64">
        <v>3.7299999999999998E-3</v>
      </c>
      <c r="G64">
        <v>2.5</v>
      </c>
      <c r="H64">
        <v>96491</v>
      </c>
      <c r="I64">
        <v>360</v>
      </c>
      <c r="J64">
        <v>481553</v>
      </c>
      <c r="K64">
        <v>5017739</v>
      </c>
      <c r="L64">
        <v>52</v>
      </c>
    </row>
    <row r="65" spans="1:12" x14ac:dyDescent="0.3">
      <c r="A65" t="s">
        <v>15</v>
      </c>
      <c r="B65">
        <v>2010</v>
      </c>
      <c r="C65" t="s">
        <v>18</v>
      </c>
      <c r="D65">
        <v>25</v>
      </c>
      <c r="E65">
        <v>1.142E-3</v>
      </c>
      <c r="F65">
        <v>5.692E-3</v>
      </c>
      <c r="G65">
        <v>2.5</v>
      </c>
      <c r="H65">
        <v>96131</v>
      </c>
      <c r="I65">
        <v>547</v>
      </c>
      <c r="J65">
        <v>479285</v>
      </c>
      <c r="K65">
        <v>4536186</v>
      </c>
      <c r="L65">
        <v>47.19</v>
      </c>
    </row>
    <row r="66" spans="1:12" x14ac:dyDescent="0.3">
      <c r="A66" t="s">
        <v>15</v>
      </c>
      <c r="B66">
        <v>2010</v>
      </c>
      <c r="C66" t="s">
        <v>18</v>
      </c>
      <c r="D66">
        <v>30</v>
      </c>
      <c r="E66">
        <v>1.482E-3</v>
      </c>
      <c r="F66">
        <v>7.3819999999999997E-3</v>
      </c>
      <c r="G66">
        <v>2.5</v>
      </c>
      <c r="H66">
        <v>95584</v>
      </c>
      <c r="I66">
        <v>706</v>
      </c>
      <c r="J66">
        <v>476154</v>
      </c>
      <c r="K66">
        <v>4056900</v>
      </c>
      <c r="L66">
        <v>42.44</v>
      </c>
    </row>
    <row r="67" spans="1:12" x14ac:dyDescent="0.3">
      <c r="A67" t="s">
        <v>15</v>
      </c>
      <c r="B67">
        <v>2010</v>
      </c>
      <c r="C67" t="s">
        <v>18</v>
      </c>
      <c r="D67">
        <v>35</v>
      </c>
      <c r="E67">
        <v>1.9400000000000001E-3</v>
      </c>
      <c r="F67">
        <v>9.6530000000000001E-3</v>
      </c>
      <c r="G67">
        <v>2.5</v>
      </c>
      <c r="H67">
        <v>94878</v>
      </c>
      <c r="I67">
        <v>916</v>
      </c>
      <c r="J67">
        <v>472100</v>
      </c>
      <c r="K67">
        <v>3580747</v>
      </c>
      <c r="L67">
        <v>37.74</v>
      </c>
    </row>
    <row r="68" spans="1:12" x14ac:dyDescent="0.3">
      <c r="A68" t="s">
        <v>15</v>
      </c>
      <c r="B68">
        <v>2010</v>
      </c>
      <c r="C68" t="s">
        <v>18</v>
      </c>
      <c r="D68">
        <v>40</v>
      </c>
      <c r="E68">
        <v>2.9949999999999998E-3</v>
      </c>
      <c r="F68">
        <v>1.4862E-2</v>
      </c>
      <c r="G68">
        <v>2.5</v>
      </c>
      <c r="H68">
        <v>93962</v>
      </c>
      <c r="I68">
        <v>1396</v>
      </c>
      <c r="J68">
        <v>466319</v>
      </c>
      <c r="K68">
        <v>3108647</v>
      </c>
      <c r="L68">
        <v>33.08</v>
      </c>
    </row>
    <row r="69" spans="1:12" x14ac:dyDescent="0.3">
      <c r="A69" t="s">
        <v>15</v>
      </c>
      <c r="B69">
        <v>2010</v>
      </c>
      <c r="C69" t="s">
        <v>18</v>
      </c>
      <c r="D69">
        <v>45</v>
      </c>
      <c r="E69">
        <v>5.0210000000000003E-3</v>
      </c>
      <c r="F69">
        <v>2.4795999999999999E-2</v>
      </c>
      <c r="G69">
        <v>2.5</v>
      </c>
      <c r="H69">
        <v>92566</v>
      </c>
      <c r="I69">
        <v>2295</v>
      </c>
      <c r="J69">
        <v>457090</v>
      </c>
      <c r="K69">
        <v>2642327</v>
      </c>
      <c r="L69">
        <v>28.55</v>
      </c>
    </row>
    <row r="70" spans="1:12" x14ac:dyDescent="0.3">
      <c r="A70" t="s">
        <v>15</v>
      </c>
      <c r="B70">
        <v>2010</v>
      </c>
      <c r="C70" t="s">
        <v>18</v>
      </c>
      <c r="D70">
        <v>50</v>
      </c>
      <c r="E70">
        <v>8.3540000000000003E-3</v>
      </c>
      <c r="F70">
        <v>4.0915E-2</v>
      </c>
      <c r="G70">
        <v>2.5</v>
      </c>
      <c r="H70">
        <v>90270</v>
      </c>
      <c r="I70">
        <v>3693</v>
      </c>
      <c r="J70">
        <v>442118</v>
      </c>
      <c r="K70">
        <v>2185237</v>
      </c>
      <c r="L70">
        <v>24.21</v>
      </c>
    </row>
    <row r="71" spans="1:12" x14ac:dyDescent="0.3">
      <c r="A71" t="s">
        <v>15</v>
      </c>
      <c r="B71">
        <v>2010</v>
      </c>
      <c r="C71" t="s">
        <v>18</v>
      </c>
      <c r="D71">
        <v>55</v>
      </c>
      <c r="E71">
        <v>1.3322000000000001E-2</v>
      </c>
      <c r="F71">
        <v>6.4463000000000006E-2</v>
      </c>
      <c r="G71">
        <v>2.5</v>
      </c>
      <c r="H71">
        <v>86577</v>
      </c>
      <c r="I71">
        <v>5581</v>
      </c>
      <c r="J71">
        <v>418932</v>
      </c>
      <c r="K71">
        <v>1743119</v>
      </c>
      <c r="L71">
        <v>20.13</v>
      </c>
    </row>
    <row r="72" spans="1:12" x14ac:dyDescent="0.3">
      <c r="A72" t="s">
        <v>15</v>
      </c>
      <c r="B72">
        <v>2010</v>
      </c>
      <c r="C72" t="s">
        <v>18</v>
      </c>
      <c r="D72">
        <v>60</v>
      </c>
      <c r="E72">
        <v>2.1552999999999999E-2</v>
      </c>
      <c r="F72">
        <v>0.102254</v>
      </c>
      <c r="G72">
        <v>2.5</v>
      </c>
      <c r="H72">
        <v>80996</v>
      </c>
      <c r="I72">
        <v>8282</v>
      </c>
      <c r="J72">
        <v>384274</v>
      </c>
      <c r="K72">
        <v>1324187</v>
      </c>
      <c r="L72">
        <v>16.350000000000001</v>
      </c>
    </row>
    <row r="73" spans="1:12" x14ac:dyDescent="0.3">
      <c r="A73" t="s">
        <v>15</v>
      </c>
      <c r="B73">
        <v>2010</v>
      </c>
      <c r="C73" t="s">
        <v>18</v>
      </c>
      <c r="D73">
        <v>65</v>
      </c>
      <c r="E73">
        <v>3.4672000000000001E-2</v>
      </c>
      <c r="F73">
        <v>0.15953200000000001</v>
      </c>
      <c r="G73">
        <v>2.5</v>
      </c>
      <c r="H73">
        <v>72714</v>
      </c>
      <c r="I73">
        <v>11600</v>
      </c>
      <c r="J73">
        <v>334568</v>
      </c>
      <c r="K73">
        <v>939913</v>
      </c>
      <c r="L73">
        <v>12.93</v>
      </c>
    </row>
    <row r="74" spans="1:12" x14ac:dyDescent="0.3">
      <c r="A74" t="s">
        <v>15</v>
      </c>
      <c r="B74">
        <v>2010</v>
      </c>
      <c r="C74" t="s">
        <v>18</v>
      </c>
      <c r="D74">
        <v>70</v>
      </c>
      <c r="E74">
        <v>5.4871999999999997E-2</v>
      </c>
      <c r="F74">
        <v>0.24126500000000001</v>
      </c>
      <c r="G74">
        <v>2.5</v>
      </c>
      <c r="H74">
        <v>61114</v>
      </c>
      <c r="I74">
        <v>14745</v>
      </c>
      <c r="J74">
        <v>268706</v>
      </c>
      <c r="K74">
        <v>605344</v>
      </c>
      <c r="L74">
        <v>9.91</v>
      </c>
    </row>
    <row r="75" spans="1:12" x14ac:dyDescent="0.3">
      <c r="A75" t="s">
        <v>15</v>
      </c>
      <c r="B75">
        <v>2010</v>
      </c>
      <c r="C75" t="s">
        <v>18</v>
      </c>
      <c r="D75">
        <v>75</v>
      </c>
      <c r="E75">
        <v>9.0825000000000003E-2</v>
      </c>
      <c r="F75">
        <v>0.37008999999999997</v>
      </c>
      <c r="G75">
        <v>2.5</v>
      </c>
      <c r="H75">
        <v>46369</v>
      </c>
      <c r="I75">
        <v>17161</v>
      </c>
      <c r="J75">
        <v>188943</v>
      </c>
      <c r="K75">
        <v>336638</v>
      </c>
      <c r="L75">
        <v>7.26</v>
      </c>
    </row>
    <row r="76" spans="1:12" x14ac:dyDescent="0.3">
      <c r="A76" t="s">
        <v>15</v>
      </c>
      <c r="B76">
        <v>2010</v>
      </c>
      <c r="C76" t="s">
        <v>18</v>
      </c>
      <c r="D76">
        <v>80</v>
      </c>
      <c r="E76">
        <v>0.15251200000000001</v>
      </c>
      <c r="F76">
        <v>0.552068</v>
      </c>
      <c r="G76">
        <v>2.5</v>
      </c>
      <c r="H76">
        <v>29208</v>
      </c>
      <c r="I76">
        <v>16125</v>
      </c>
      <c r="J76">
        <v>105729</v>
      </c>
      <c r="K76">
        <v>147694</v>
      </c>
      <c r="L76">
        <v>5.0599999999999996</v>
      </c>
    </row>
    <row r="77" spans="1:12" x14ac:dyDescent="0.3">
      <c r="A77" t="s">
        <v>15</v>
      </c>
      <c r="B77">
        <v>2010</v>
      </c>
      <c r="C77" t="s">
        <v>18</v>
      </c>
      <c r="D77">
        <v>85</v>
      </c>
      <c r="E77">
        <v>0.31176500000000001</v>
      </c>
      <c r="F77">
        <v>1</v>
      </c>
      <c r="G77" t="s">
        <v>17</v>
      </c>
      <c r="H77">
        <v>13083</v>
      </c>
      <c r="I77">
        <v>13083</v>
      </c>
      <c r="J77">
        <v>41965</v>
      </c>
      <c r="K77">
        <v>41965</v>
      </c>
      <c r="L77">
        <v>3.21</v>
      </c>
    </row>
    <row r="78" spans="1:12" x14ac:dyDescent="0.3">
      <c r="A78" s="57" t="s">
        <v>15</v>
      </c>
      <c r="B78" s="57">
        <v>2019</v>
      </c>
      <c r="C78" s="57" t="s">
        <v>18</v>
      </c>
      <c r="D78" s="57">
        <v>0</v>
      </c>
      <c r="E78" s="57">
        <v>2.0428999999999999E-2</v>
      </c>
      <c r="F78" s="57">
        <v>2.0065E-2</v>
      </c>
      <c r="G78" s="57">
        <v>0.11</v>
      </c>
      <c r="H78" s="59">
        <v>100000</v>
      </c>
      <c r="I78" s="57">
        <v>2006</v>
      </c>
      <c r="J78" s="57">
        <v>98215</v>
      </c>
      <c r="K78" s="57">
        <v>7038501</v>
      </c>
      <c r="L78" s="57">
        <v>70.39</v>
      </c>
    </row>
    <row r="79" spans="1:12" x14ac:dyDescent="0.3">
      <c r="A79" s="57" t="s">
        <v>15</v>
      </c>
      <c r="B79" s="57">
        <v>2019</v>
      </c>
      <c r="C79" s="57" t="s">
        <v>18</v>
      </c>
      <c r="D79" s="57">
        <v>1</v>
      </c>
      <c r="E79" s="57">
        <v>8.8699999999999998E-4</v>
      </c>
      <c r="F79" s="57">
        <v>3.542E-3</v>
      </c>
      <c r="G79" s="57">
        <v>1.49</v>
      </c>
      <c r="H79" s="57">
        <v>97994</v>
      </c>
      <c r="I79" s="57">
        <v>347</v>
      </c>
      <c r="J79" s="57">
        <v>391103</v>
      </c>
      <c r="K79" s="57">
        <v>6940286</v>
      </c>
      <c r="L79" s="57">
        <v>70.819999999999993</v>
      </c>
    </row>
    <row r="80" spans="1:12" x14ac:dyDescent="0.3">
      <c r="A80" s="57" t="s">
        <v>15</v>
      </c>
      <c r="B80" s="57">
        <v>2019</v>
      </c>
      <c r="C80" s="57" t="s">
        <v>18</v>
      </c>
      <c r="D80" s="57">
        <v>5</v>
      </c>
      <c r="E80" s="57">
        <v>3.1399999999999999E-4</v>
      </c>
      <c r="F80" s="57">
        <v>1.5709999999999999E-3</v>
      </c>
      <c r="G80" s="57">
        <v>2.5</v>
      </c>
      <c r="H80" s="57">
        <v>97646</v>
      </c>
      <c r="I80" s="57">
        <v>153</v>
      </c>
      <c r="J80" s="57">
        <v>487849</v>
      </c>
      <c r="K80" s="57">
        <v>6549183</v>
      </c>
      <c r="L80" s="57">
        <v>67.069999999999993</v>
      </c>
    </row>
    <row r="81" spans="1:12" x14ac:dyDescent="0.3">
      <c r="A81" s="57" t="s">
        <v>15</v>
      </c>
      <c r="B81" s="57">
        <v>2019</v>
      </c>
      <c r="C81" s="57" t="s">
        <v>18</v>
      </c>
      <c r="D81" s="57">
        <v>10</v>
      </c>
      <c r="E81" s="57">
        <v>4.7199999999999998E-4</v>
      </c>
      <c r="F81" s="57">
        <v>2.3570000000000002E-3</v>
      </c>
      <c r="G81" s="57">
        <v>2.5</v>
      </c>
      <c r="H81" s="57">
        <v>97493</v>
      </c>
      <c r="I81" s="57">
        <v>230</v>
      </c>
      <c r="J81" s="57">
        <v>486891</v>
      </c>
      <c r="K81" s="57">
        <v>6061334</v>
      </c>
      <c r="L81" s="57">
        <v>62.17</v>
      </c>
    </row>
    <row r="82" spans="1:12" x14ac:dyDescent="0.3">
      <c r="A82" s="57" t="s">
        <v>15</v>
      </c>
      <c r="B82" s="57">
        <v>2019</v>
      </c>
      <c r="C82" s="57" t="s">
        <v>18</v>
      </c>
      <c r="D82" s="57">
        <v>15</v>
      </c>
      <c r="E82" s="57">
        <v>7.6300000000000001E-4</v>
      </c>
      <c r="F82" s="57">
        <v>3.8070000000000001E-3</v>
      </c>
      <c r="G82" s="57">
        <v>2.5</v>
      </c>
      <c r="H82" s="57">
        <v>97263</v>
      </c>
      <c r="I82" s="57">
        <v>370</v>
      </c>
      <c r="J82" s="57">
        <v>485391</v>
      </c>
      <c r="K82" s="57">
        <v>5574443</v>
      </c>
      <c r="L82" s="57">
        <v>57.31</v>
      </c>
    </row>
    <row r="83" spans="1:12" x14ac:dyDescent="0.3">
      <c r="A83" s="57" t="s">
        <v>15</v>
      </c>
      <c r="B83" s="57">
        <v>2019</v>
      </c>
      <c r="C83" s="57" t="s">
        <v>18</v>
      </c>
      <c r="D83" s="57">
        <v>20</v>
      </c>
      <c r="E83" s="57">
        <v>9.8900000000000008E-4</v>
      </c>
      <c r="F83" s="57">
        <v>4.9329999999999999E-3</v>
      </c>
      <c r="G83" s="57">
        <v>2.5</v>
      </c>
      <c r="H83" s="57">
        <v>96893</v>
      </c>
      <c r="I83" s="57">
        <v>478</v>
      </c>
      <c r="J83" s="57">
        <v>483270</v>
      </c>
      <c r="K83" s="57">
        <v>5089053</v>
      </c>
      <c r="L83" s="57">
        <v>52.52</v>
      </c>
    </row>
    <row r="84" spans="1:12" x14ac:dyDescent="0.3">
      <c r="A84" s="57" t="s">
        <v>15</v>
      </c>
      <c r="B84" s="57">
        <v>2019</v>
      </c>
      <c r="C84" s="57" t="s">
        <v>18</v>
      </c>
      <c r="D84" s="57">
        <v>25</v>
      </c>
      <c r="E84" s="57">
        <v>1.0579999999999999E-3</v>
      </c>
      <c r="F84" s="57">
        <v>5.274E-3</v>
      </c>
      <c r="G84" s="57">
        <v>2.5</v>
      </c>
      <c r="H84" s="57">
        <v>96415</v>
      </c>
      <c r="I84" s="57">
        <v>509</v>
      </c>
      <c r="J84" s="57">
        <v>480804</v>
      </c>
      <c r="K84" s="57">
        <v>4605783</v>
      </c>
      <c r="L84" s="57">
        <v>47.77</v>
      </c>
    </row>
    <row r="85" spans="1:12" x14ac:dyDescent="0.3">
      <c r="A85" s="57" t="s">
        <v>15</v>
      </c>
      <c r="B85" s="57">
        <v>2019</v>
      </c>
      <c r="C85" s="57" t="s">
        <v>18</v>
      </c>
      <c r="D85" s="57">
        <v>30</v>
      </c>
      <c r="E85" s="57">
        <v>1.8320000000000001E-3</v>
      </c>
      <c r="F85" s="57">
        <v>9.1190000000000004E-3</v>
      </c>
      <c r="G85" s="57">
        <v>2.5</v>
      </c>
      <c r="H85" s="57">
        <v>95907</v>
      </c>
      <c r="I85" s="57">
        <v>875</v>
      </c>
      <c r="J85" s="57">
        <v>477346</v>
      </c>
      <c r="K85" s="57">
        <v>4124979</v>
      </c>
      <c r="L85" s="57">
        <v>43.01</v>
      </c>
    </row>
    <row r="86" spans="1:12" x14ac:dyDescent="0.3">
      <c r="A86" s="57" t="s">
        <v>15</v>
      </c>
      <c r="B86" s="57">
        <v>2019</v>
      </c>
      <c r="C86" s="57" t="s">
        <v>18</v>
      </c>
      <c r="D86" s="57">
        <v>35</v>
      </c>
      <c r="E86" s="57">
        <v>2.0950000000000001E-3</v>
      </c>
      <c r="F86" s="57">
        <v>1.0422000000000001E-2</v>
      </c>
      <c r="G86" s="57">
        <v>2.5</v>
      </c>
      <c r="H86" s="57">
        <v>95032</v>
      </c>
      <c r="I86" s="57">
        <v>990</v>
      </c>
      <c r="J86" s="57">
        <v>472684</v>
      </c>
      <c r="K86" s="57">
        <v>3647632</v>
      </c>
      <c r="L86" s="57">
        <v>38.380000000000003</v>
      </c>
    </row>
    <row r="87" spans="1:12" x14ac:dyDescent="0.3">
      <c r="A87" s="57" t="s">
        <v>15</v>
      </c>
      <c r="B87" s="57">
        <v>2019</v>
      </c>
      <c r="C87" s="57" t="s">
        <v>18</v>
      </c>
      <c r="D87" s="57">
        <v>40</v>
      </c>
      <c r="E87" s="57">
        <v>3.3409999999999998E-3</v>
      </c>
      <c r="F87" s="57">
        <v>1.6569E-2</v>
      </c>
      <c r="G87" s="57">
        <v>2.5</v>
      </c>
      <c r="H87" s="57">
        <v>94042</v>
      </c>
      <c r="I87" s="57">
        <v>1558</v>
      </c>
      <c r="J87" s="57">
        <v>466313</v>
      </c>
      <c r="K87" s="57">
        <v>3174948</v>
      </c>
      <c r="L87" s="57">
        <v>33.76</v>
      </c>
    </row>
    <row r="88" spans="1:12" x14ac:dyDescent="0.3">
      <c r="A88" s="57" t="s">
        <v>15</v>
      </c>
      <c r="B88" s="57">
        <v>2019</v>
      </c>
      <c r="C88" s="57" t="s">
        <v>18</v>
      </c>
      <c r="D88" s="57">
        <v>45</v>
      </c>
      <c r="E88" s="57">
        <v>5.4079999999999996E-3</v>
      </c>
      <c r="F88" s="57">
        <v>2.6681E-2</v>
      </c>
      <c r="G88" s="57">
        <v>2.5</v>
      </c>
      <c r="H88" s="57">
        <v>92483</v>
      </c>
      <c r="I88" s="57">
        <v>2468</v>
      </c>
      <c r="J88" s="57">
        <v>456248</v>
      </c>
      <c r="K88" s="57">
        <v>2708636</v>
      </c>
      <c r="L88" s="57">
        <v>29.29</v>
      </c>
    </row>
    <row r="89" spans="1:12" x14ac:dyDescent="0.3">
      <c r="A89" s="57" t="s">
        <v>15</v>
      </c>
      <c r="B89" s="57">
        <v>2019</v>
      </c>
      <c r="C89" s="57" t="s">
        <v>18</v>
      </c>
      <c r="D89" s="57">
        <v>50</v>
      </c>
      <c r="E89" s="57">
        <v>8.1370000000000001E-3</v>
      </c>
      <c r="F89" s="57">
        <v>3.9871999999999998E-2</v>
      </c>
      <c r="G89" s="57">
        <v>2.5</v>
      </c>
      <c r="H89" s="57">
        <v>90016</v>
      </c>
      <c r="I89" s="57">
        <v>3589</v>
      </c>
      <c r="J89" s="57">
        <v>441107</v>
      </c>
      <c r="K89" s="57">
        <v>2252387</v>
      </c>
      <c r="L89" s="57">
        <v>25.02</v>
      </c>
    </row>
    <row r="90" spans="1:12" x14ac:dyDescent="0.3">
      <c r="A90" s="57" t="s">
        <v>15</v>
      </c>
      <c r="B90" s="57">
        <v>2019</v>
      </c>
      <c r="C90" s="57" t="s">
        <v>18</v>
      </c>
      <c r="D90" s="57">
        <v>55</v>
      </c>
      <c r="E90" s="57">
        <v>1.2567E-2</v>
      </c>
      <c r="F90" s="57">
        <v>6.0920000000000002E-2</v>
      </c>
      <c r="G90" s="57">
        <v>2.5</v>
      </c>
      <c r="H90" s="57">
        <v>86427</v>
      </c>
      <c r="I90" s="57">
        <v>5265</v>
      </c>
      <c r="J90" s="57">
        <v>418971</v>
      </c>
      <c r="K90" s="57">
        <v>1811281</v>
      </c>
      <c r="L90" s="57">
        <v>20.96</v>
      </c>
    </row>
    <row r="91" spans="1:12" x14ac:dyDescent="0.3">
      <c r="A91" s="57" t="s">
        <v>15</v>
      </c>
      <c r="B91" s="57">
        <v>2019</v>
      </c>
      <c r="C91" s="57" t="s">
        <v>18</v>
      </c>
      <c r="D91" s="57">
        <v>60</v>
      </c>
      <c r="E91" s="57">
        <v>2.1211000000000001E-2</v>
      </c>
      <c r="F91" s="57">
        <v>0.100716</v>
      </c>
      <c r="G91" s="57">
        <v>2.5</v>
      </c>
      <c r="H91" s="57">
        <v>81162</v>
      </c>
      <c r="I91" s="57">
        <v>8174</v>
      </c>
      <c r="J91" s="57">
        <v>385372</v>
      </c>
      <c r="K91" s="57">
        <v>1392310</v>
      </c>
      <c r="L91" s="57">
        <v>17.149999999999999</v>
      </c>
    </row>
    <row r="92" spans="1:12" x14ac:dyDescent="0.3">
      <c r="A92" s="57" t="s">
        <v>15</v>
      </c>
      <c r="B92" s="57">
        <v>2019</v>
      </c>
      <c r="C92" s="57" t="s">
        <v>18</v>
      </c>
      <c r="D92" s="57">
        <v>65</v>
      </c>
      <c r="E92" s="57">
        <v>3.0866999999999999E-2</v>
      </c>
      <c r="F92" s="57">
        <v>0.14327899999999999</v>
      </c>
      <c r="G92" s="57">
        <v>2.5</v>
      </c>
      <c r="H92" s="57">
        <v>72987</v>
      </c>
      <c r="I92" s="57">
        <v>10458</v>
      </c>
      <c r="J92" s="57">
        <v>338793</v>
      </c>
      <c r="K92" s="57">
        <v>1006937</v>
      </c>
      <c r="L92" s="57">
        <v>13.8</v>
      </c>
    </row>
    <row r="93" spans="1:12" x14ac:dyDescent="0.3">
      <c r="A93" s="57" t="s">
        <v>15</v>
      </c>
      <c r="B93" s="57">
        <v>2019</v>
      </c>
      <c r="C93" s="57" t="s">
        <v>18</v>
      </c>
      <c r="D93" s="57">
        <v>70</v>
      </c>
      <c r="E93" s="57">
        <v>4.8668999999999997E-2</v>
      </c>
      <c r="F93" s="57">
        <v>0.216947</v>
      </c>
      <c r="G93" s="57">
        <v>2.5</v>
      </c>
      <c r="H93" s="57">
        <v>62530</v>
      </c>
      <c r="I93" s="57">
        <v>13566</v>
      </c>
      <c r="J93" s="57">
        <v>278735</v>
      </c>
      <c r="K93" s="57">
        <v>668144</v>
      </c>
      <c r="L93" s="57">
        <v>10.69</v>
      </c>
    </row>
    <row r="94" spans="1:12" x14ac:dyDescent="0.3">
      <c r="A94" s="57" t="s">
        <v>15</v>
      </c>
      <c r="B94" s="57">
        <v>2019</v>
      </c>
      <c r="C94" s="57" t="s">
        <v>18</v>
      </c>
      <c r="D94" s="57">
        <v>75</v>
      </c>
      <c r="E94" s="57">
        <v>7.8520000000000006E-2</v>
      </c>
      <c r="F94" s="57">
        <v>0.328177</v>
      </c>
      <c r="G94" s="57">
        <v>2.5</v>
      </c>
      <c r="H94" s="57">
        <v>48964</v>
      </c>
      <c r="I94" s="57">
        <v>16069</v>
      </c>
      <c r="J94" s="57">
        <v>204649</v>
      </c>
      <c r="K94" s="57">
        <v>389409</v>
      </c>
      <c r="L94" s="57">
        <v>7.95</v>
      </c>
    </row>
    <row r="95" spans="1:12" x14ac:dyDescent="0.3">
      <c r="A95" s="57" t="s">
        <v>15</v>
      </c>
      <c r="B95" s="57">
        <v>2019</v>
      </c>
      <c r="C95" s="57" t="s">
        <v>18</v>
      </c>
      <c r="D95" s="57">
        <v>80</v>
      </c>
      <c r="E95" s="57">
        <v>0.134579</v>
      </c>
      <c r="F95" s="57">
        <v>0.50349699999999997</v>
      </c>
      <c r="G95" s="57">
        <v>2.5</v>
      </c>
      <c r="H95" s="57">
        <v>32895</v>
      </c>
      <c r="I95" s="57">
        <v>16563</v>
      </c>
      <c r="J95" s="57">
        <v>123070</v>
      </c>
      <c r="K95" s="57">
        <v>184761</v>
      </c>
      <c r="L95" s="57">
        <v>5.62</v>
      </c>
    </row>
    <row r="96" spans="1:12" x14ac:dyDescent="0.3">
      <c r="A96" s="57" t="s">
        <v>15</v>
      </c>
      <c r="B96" s="57">
        <v>2019</v>
      </c>
      <c r="C96" s="57" t="s">
        <v>18</v>
      </c>
      <c r="D96" s="57">
        <v>85</v>
      </c>
      <c r="E96" s="57">
        <v>0.26474700000000001</v>
      </c>
      <c r="F96" s="57">
        <v>1</v>
      </c>
      <c r="G96" s="57" t="s">
        <v>17</v>
      </c>
      <c r="H96" s="57">
        <v>16333</v>
      </c>
      <c r="I96" s="57">
        <v>16333</v>
      </c>
      <c r="J96" s="57">
        <v>61691</v>
      </c>
      <c r="K96" s="57">
        <v>61691</v>
      </c>
      <c r="L96" s="57">
        <v>3.78</v>
      </c>
    </row>
    <row r="97" spans="1:12" x14ac:dyDescent="0.3">
      <c r="A97" t="s">
        <v>15</v>
      </c>
      <c r="B97">
        <v>2021</v>
      </c>
      <c r="C97" t="s">
        <v>18</v>
      </c>
      <c r="D97">
        <v>0</v>
      </c>
      <c r="E97">
        <v>1.6315E-2</v>
      </c>
      <c r="F97">
        <v>1.6079E-2</v>
      </c>
      <c r="G97">
        <v>0.1</v>
      </c>
      <c r="H97" s="1">
        <v>100000</v>
      </c>
      <c r="I97">
        <v>1608</v>
      </c>
      <c r="J97">
        <v>98551</v>
      </c>
      <c r="K97">
        <v>6732680</v>
      </c>
      <c r="L97">
        <v>67.33</v>
      </c>
    </row>
    <row r="98" spans="1:12" x14ac:dyDescent="0.3">
      <c r="A98" t="s">
        <v>15</v>
      </c>
      <c r="B98">
        <v>2021</v>
      </c>
      <c r="C98" t="s">
        <v>18</v>
      </c>
      <c r="D98">
        <v>1</v>
      </c>
      <c r="E98">
        <v>9.5200000000000005E-4</v>
      </c>
      <c r="F98">
        <v>3.797E-3</v>
      </c>
      <c r="G98">
        <v>1.5</v>
      </c>
      <c r="H98">
        <v>98392</v>
      </c>
      <c r="I98">
        <v>374</v>
      </c>
      <c r="J98">
        <v>392633</v>
      </c>
      <c r="K98">
        <v>6634130</v>
      </c>
      <c r="L98">
        <v>67.430000000000007</v>
      </c>
    </row>
    <row r="99" spans="1:12" x14ac:dyDescent="0.3">
      <c r="A99" t="s">
        <v>15</v>
      </c>
      <c r="B99">
        <v>2021</v>
      </c>
      <c r="C99" t="s">
        <v>18</v>
      </c>
      <c r="D99">
        <v>5</v>
      </c>
      <c r="E99">
        <v>1.94E-4</v>
      </c>
      <c r="F99">
        <v>9.7099999999999997E-4</v>
      </c>
      <c r="G99">
        <v>2.5</v>
      </c>
      <c r="H99">
        <v>98019</v>
      </c>
      <c r="I99">
        <v>95</v>
      </c>
      <c r="J99">
        <v>489855</v>
      </c>
      <c r="K99">
        <v>6241496</v>
      </c>
      <c r="L99">
        <v>63.68</v>
      </c>
    </row>
    <row r="100" spans="1:12" x14ac:dyDescent="0.3">
      <c r="A100" t="s">
        <v>15</v>
      </c>
      <c r="B100">
        <v>2021</v>
      </c>
      <c r="C100" t="s">
        <v>18</v>
      </c>
      <c r="D100">
        <v>10</v>
      </c>
      <c r="E100">
        <v>4.8999999999999998E-4</v>
      </c>
      <c r="F100">
        <v>2.447E-3</v>
      </c>
      <c r="G100">
        <v>2.5</v>
      </c>
      <c r="H100">
        <v>97923</v>
      </c>
      <c r="I100">
        <v>240</v>
      </c>
      <c r="J100">
        <v>489018</v>
      </c>
      <c r="K100">
        <v>5751641</v>
      </c>
      <c r="L100">
        <v>58.74</v>
      </c>
    </row>
    <row r="101" spans="1:12" x14ac:dyDescent="0.3">
      <c r="A101" t="s">
        <v>15</v>
      </c>
      <c r="B101">
        <v>2021</v>
      </c>
      <c r="C101" t="s">
        <v>18</v>
      </c>
      <c r="D101">
        <v>15</v>
      </c>
      <c r="E101">
        <v>8.0199999999999998E-4</v>
      </c>
      <c r="F101">
        <v>4.0029999999999996E-3</v>
      </c>
      <c r="G101">
        <v>2.5</v>
      </c>
      <c r="H101">
        <v>97684</v>
      </c>
      <c r="I101">
        <v>391</v>
      </c>
      <c r="J101">
        <v>487441</v>
      </c>
      <c r="K101">
        <v>5262624</v>
      </c>
      <c r="L101">
        <v>53.87</v>
      </c>
    </row>
    <row r="102" spans="1:12" x14ac:dyDescent="0.3">
      <c r="A102" t="s">
        <v>15</v>
      </c>
      <c r="B102">
        <v>2021</v>
      </c>
      <c r="C102" t="s">
        <v>18</v>
      </c>
      <c r="D102">
        <v>20</v>
      </c>
      <c r="E102">
        <v>1.0939999999999999E-3</v>
      </c>
      <c r="F102">
        <v>5.457E-3</v>
      </c>
      <c r="G102">
        <v>2.5</v>
      </c>
      <c r="H102">
        <v>97293</v>
      </c>
      <c r="I102">
        <v>531</v>
      </c>
      <c r="J102">
        <v>485136</v>
      </c>
      <c r="K102">
        <v>4775182</v>
      </c>
      <c r="L102">
        <v>49.08</v>
      </c>
    </row>
    <row r="103" spans="1:12" x14ac:dyDescent="0.3">
      <c r="A103" t="s">
        <v>15</v>
      </c>
      <c r="B103">
        <v>2021</v>
      </c>
      <c r="C103" t="s">
        <v>18</v>
      </c>
      <c r="D103">
        <v>25</v>
      </c>
      <c r="E103">
        <v>1.48E-3</v>
      </c>
      <c r="F103">
        <v>7.3720000000000001E-3</v>
      </c>
      <c r="G103">
        <v>2.5</v>
      </c>
      <c r="H103">
        <v>96762</v>
      </c>
      <c r="I103">
        <v>713</v>
      </c>
      <c r="J103">
        <v>482026</v>
      </c>
      <c r="K103">
        <v>4290046</v>
      </c>
      <c r="L103">
        <v>44.34</v>
      </c>
    </row>
    <row r="104" spans="1:12" x14ac:dyDescent="0.3">
      <c r="A104" t="s">
        <v>15</v>
      </c>
      <c r="B104">
        <v>2021</v>
      </c>
      <c r="C104" t="s">
        <v>18</v>
      </c>
      <c r="D104">
        <v>30</v>
      </c>
      <c r="E104">
        <v>2.2039999999999998E-3</v>
      </c>
      <c r="F104">
        <v>1.0957E-2</v>
      </c>
      <c r="G104">
        <v>2.5</v>
      </c>
      <c r="H104">
        <v>96049</v>
      </c>
      <c r="I104">
        <v>1052</v>
      </c>
      <c r="J104">
        <v>477612</v>
      </c>
      <c r="K104">
        <v>3808020</v>
      </c>
      <c r="L104">
        <v>39.65</v>
      </c>
    </row>
    <row r="105" spans="1:12" x14ac:dyDescent="0.3">
      <c r="A105" t="s">
        <v>15</v>
      </c>
      <c r="B105">
        <v>2021</v>
      </c>
      <c r="C105" t="s">
        <v>18</v>
      </c>
      <c r="D105">
        <v>35</v>
      </c>
      <c r="E105">
        <v>3.4150000000000001E-3</v>
      </c>
      <c r="F105">
        <v>1.6931000000000002E-2</v>
      </c>
      <c r="G105">
        <v>2.5</v>
      </c>
      <c r="H105">
        <v>94996</v>
      </c>
      <c r="I105">
        <v>1608</v>
      </c>
      <c r="J105">
        <v>470960</v>
      </c>
      <c r="K105">
        <v>3330408</v>
      </c>
      <c r="L105">
        <v>35.06</v>
      </c>
    </row>
    <row r="106" spans="1:12" x14ac:dyDescent="0.3">
      <c r="A106" t="s">
        <v>15</v>
      </c>
      <c r="B106">
        <v>2021</v>
      </c>
      <c r="C106" t="s">
        <v>18</v>
      </c>
      <c r="D106">
        <v>40</v>
      </c>
      <c r="E106">
        <v>4.4939999999999997E-3</v>
      </c>
      <c r="F106">
        <v>2.2221000000000001E-2</v>
      </c>
      <c r="G106">
        <v>2.5</v>
      </c>
      <c r="H106">
        <v>93388</v>
      </c>
      <c r="I106">
        <v>2075</v>
      </c>
      <c r="J106">
        <v>461751</v>
      </c>
      <c r="K106">
        <v>2859449</v>
      </c>
      <c r="L106">
        <v>30.62</v>
      </c>
    </row>
    <row r="107" spans="1:12" x14ac:dyDescent="0.3">
      <c r="A107" t="s">
        <v>15</v>
      </c>
      <c r="B107">
        <v>2021</v>
      </c>
      <c r="C107" t="s">
        <v>18</v>
      </c>
      <c r="D107">
        <v>45</v>
      </c>
      <c r="E107">
        <v>8.4139999999999996E-3</v>
      </c>
      <c r="F107">
        <v>4.1204999999999999E-2</v>
      </c>
      <c r="G107">
        <v>2.5</v>
      </c>
      <c r="H107">
        <v>91313</v>
      </c>
      <c r="I107">
        <v>3763</v>
      </c>
      <c r="J107">
        <v>447157</v>
      </c>
      <c r="K107">
        <v>2397698</v>
      </c>
      <c r="L107">
        <v>26.26</v>
      </c>
    </row>
    <row r="108" spans="1:12" x14ac:dyDescent="0.3">
      <c r="A108" t="s">
        <v>15</v>
      </c>
      <c r="B108">
        <v>2021</v>
      </c>
      <c r="C108" t="s">
        <v>18</v>
      </c>
      <c r="D108">
        <v>50</v>
      </c>
      <c r="E108">
        <v>1.1292E-2</v>
      </c>
      <c r="F108">
        <v>5.4908999999999999E-2</v>
      </c>
      <c r="G108">
        <v>2.5</v>
      </c>
      <c r="H108">
        <v>87550</v>
      </c>
      <c r="I108">
        <v>4807</v>
      </c>
      <c r="J108">
        <v>425732</v>
      </c>
      <c r="K108">
        <v>1950541</v>
      </c>
      <c r="L108">
        <v>22.28</v>
      </c>
    </row>
    <row r="109" spans="1:12" x14ac:dyDescent="0.3">
      <c r="A109" t="s">
        <v>15</v>
      </c>
      <c r="B109">
        <v>2021</v>
      </c>
      <c r="C109" t="s">
        <v>18</v>
      </c>
      <c r="D109">
        <v>55</v>
      </c>
      <c r="E109">
        <v>1.8683999999999999E-2</v>
      </c>
      <c r="F109">
        <v>8.9250999999999997E-2</v>
      </c>
      <c r="G109">
        <v>2.5</v>
      </c>
      <c r="H109">
        <v>82743</v>
      </c>
      <c r="I109">
        <v>7385</v>
      </c>
      <c r="J109">
        <v>395252</v>
      </c>
      <c r="K109">
        <v>1524809</v>
      </c>
      <c r="L109">
        <v>18.43</v>
      </c>
    </row>
    <row r="110" spans="1:12" x14ac:dyDescent="0.3">
      <c r="A110" t="s">
        <v>15</v>
      </c>
      <c r="B110">
        <v>2021</v>
      </c>
      <c r="C110" t="s">
        <v>18</v>
      </c>
      <c r="D110">
        <v>60</v>
      </c>
      <c r="E110">
        <v>3.0036E-2</v>
      </c>
      <c r="F110">
        <v>0.13968900000000001</v>
      </c>
      <c r="G110">
        <v>2.5</v>
      </c>
      <c r="H110">
        <v>75358</v>
      </c>
      <c r="I110">
        <v>10527</v>
      </c>
      <c r="J110">
        <v>350473</v>
      </c>
      <c r="K110">
        <v>1129557</v>
      </c>
      <c r="L110">
        <v>14.99</v>
      </c>
    </row>
    <row r="111" spans="1:12" x14ac:dyDescent="0.3">
      <c r="A111" t="s">
        <v>15</v>
      </c>
      <c r="B111">
        <v>2021</v>
      </c>
      <c r="C111" t="s">
        <v>18</v>
      </c>
      <c r="D111">
        <v>65</v>
      </c>
      <c r="E111">
        <v>4.1843999999999999E-2</v>
      </c>
      <c r="F111">
        <v>0.18940699999999999</v>
      </c>
      <c r="G111">
        <v>2.5</v>
      </c>
      <c r="H111">
        <v>64831</v>
      </c>
      <c r="I111">
        <v>12279</v>
      </c>
      <c r="J111">
        <v>293458</v>
      </c>
      <c r="K111">
        <v>779084</v>
      </c>
      <c r="L111">
        <v>12.02</v>
      </c>
    </row>
    <row r="112" spans="1:12" x14ac:dyDescent="0.3">
      <c r="A112" t="s">
        <v>15</v>
      </c>
      <c r="B112">
        <v>2021</v>
      </c>
      <c r="C112" t="s">
        <v>18</v>
      </c>
      <c r="D112">
        <v>70</v>
      </c>
      <c r="E112">
        <v>6.8262000000000003E-2</v>
      </c>
      <c r="F112">
        <v>0.29155300000000001</v>
      </c>
      <c r="G112">
        <v>2.5</v>
      </c>
      <c r="H112">
        <v>52552</v>
      </c>
      <c r="I112">
        <v>15322</v>
      </c>
      <c r="J112">
        <v>224455</v>
      </c>
      <c r="K112">
        <v>485627</v>
      </c>
      <c r="L112">
        <v>9.24</v>
      </c>
    </row>
    <row r="113" spans="1:12" x14ac:dyDescent="0.3">
      <c r="A113" t="s">
        <v>15</v>
      </c>
      <c r="B113">
        <v>2021</v>
      </c>
      <c r="C113" t="s">
        <v>18</v>
      </c>
      <c r="D113">
        <v>75</v>
      </c>
      <c r="E113">
        <v>9.8598000000000005E-2</v>
      </c>
      <c r="F113">
        <v>0.39550200000000002</v>
      </c>
      <c r="G113">
        <v>2.5</v>
      </c>
      <c r="H113">
        <v>37230</v>
      </c>
      <c r="I113">
        <v>14725</v>
      </c>
      <c r="J113">
        <v>149339</v>
      </c>
      <c r="K113">
        <v>261172</v>
      </c>
      <c r="L113">
        <v>7.02</v>
      </c>
    </row>
    <row r="114" spans="1:12" x14ac:dyDescent="0.3">
      <c r="A114" t="s">
        <v>15</v>
      </c>
      <c r="B114">
        <v>2021</v>
      </c>
      <c r="C114" t="s">
        <v>18</v>
      </c>
      <c r="D114">
        <v>80</v>
      </c>
      <c r="E114">
        <v>0.15636700000000001</v>
      </c>
      <c r="F114">
        <v>0.56210000000000004</v>
      </c>
      <c r="G114">
        <v>2.5</v>
      </c>
      <c r="H114">
        <v>22506</v>
      </c>
      <c r="I114">
        <v>12650</v>
      </c>
      <c r="J114">
        <v>80902</v>
      </c>
      <c r="K114">
        <v>111832</v>
      </c>
      <c r="L114">
        <v>4.97</v>
      </c>
    </row>
    <row r="115" spans="1:12" x14ac:dyDescent="0.3">
      <c r="A115" t="s">
        <v>15</v>
      </c>
      <c r="B115">
        <v>2021</v>
      </c>
      <c r="C115" t="s">
        <v>18</v>
      </c>
      <c r="D115">
        <v>85</v>
      </c>
      <c r="E115">
        <v>0.31862400000000002</v>
      </c>
      <c r="F115">
        <v>1</v>
      </c>
      <c r="G115" t="s">
        <v>17</v>
      </c>
      <c r="H115">
        <v>9855</v>
      </c>
      <c r="I115">
        <v>9855</v>
      </c>
      <c r="J115">
        <v>30931</v>
      </c>
      <c r="K115">
        <v>30931</v>
      </c>
      <c r="L115">
        <v>3.14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0292D-378B-4921-BF78-AA56E0F5D170}">
  <dimension ref="A1:D1331"/>
  <sheetViews>
    <sheetView topLeftCell="A547" workbookViewId="0">
      <selection activeCell="F1229" sqref="F1229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1990</v>
      </c>
      <c r="B2" t="s">
        <v>5</v>
      </c>
      <c r="C2">
        <v>0</v>
      </c>
      <c r="D2">
        <v>0</v>
      </c>
    </row>
    <row r="3" spans="1:4" x14ac:dyDescent="0.3">
      <c r="A3">
        <v>1990</v>
      </c>
      <c r="B3" t="s">
        <v>5</v>
      </c>
      <c r="C3">
        <v>1</v>
      </c>
      <c r="D3">
        <v>0</v>
      </c>
    </row>
    <row r="4" spans="1:4" x14ac:dyDescent="0.3">
      <c r="A4">
        <v>1990</v>
      </c>
      <c r="B4" t="s">
        <v>5</v>
      </c>
      <c r="C4">
        <v>5</v>
      </c>
      <c r="D4">
        <v>0</v>
      </c>
    </row>
    <row r="5" spans="1:4" x14ac:dyDescent="0.3">
      <c r="A5">
        <v>1990</v>
      </c>
      <c r="B5" t="s">
        <v>5</v>
      </c>
      <c r="C5">
        <v>10</v>
      </c>
      <c r="D5">
        <v>0</v>
      </c>
    </row>
    <row r="6" spans="1:4" x14ac:dyDescent="0.3">
      <c r="A6">
        <v>1990</v>
      </c>
      <c r="B6" t="s">
        <v>5</v>
      </c>
      <c r="C6">
        <v>15</v>
      </c>
      <c r="D6">
        <v>0</v>
      </c>
    </row>
    <row r="7" spans="1:4" x14ac:dyDescent="0.3">
      <c r="A7">
        <v>1990</v>
      </c>
      <c r="B7" t="s">
        <v>5</v>
      </c>
      <c r="C7">
        <v>20</v>
      </c>
      <c r="D7">
        <v>2</v>
      </c>
    </row>
    <row r="8" spans="1:4" x14ac:dyDescent="0.3">
      <c r="A8">
        <v>1990</v>
      </c>
      <c r="B8" t="s">
        <v>5</v>
      </c>
      <c r="C8">
        <v>25</v>
      </c>
      <c r="D8">
        <v>2</v>
      </c>
    </row>
    <row r="9" spans="1:4" x14ac:dyDescent="0.3">
      <c r="A9">
        <v>1990</v>
      </c>
      <c r="B9" t="s">
        <v>5</v>
      </c>
      <c r="C9">
        <v>30</v>
      </c>
      <c r="D9">
        <v>0</v>
      </c>
    </row>
    <row r="10" spans="1:4" x14ac:dyDescent="0.3">
      <c r="A10">
        <v>1990</v>
      </c>
      <c r="B10" t="s">
        <v>5</v>
      </c>
      <c r="C10">
        <v>35</v>
      </c>
      <c r="D10">
        <v>2</v>
      </c>
    </row>
    <row r="11" spans="1:4" x14ac:dyDescent="0.3">
      <c r="A11">
        <v>1990</v>
      </c>
      <c r="B11" t="s">
        <v>5</v>
      </c>
      <c r="C11">
        <v>40</v>
      </c>
      <c r="D11">
        <v>2</v>
      </c>
    </row>
    <row r="12" spans="1:4" x14ac:dyDescent="0.3">
      <c r="A12">
        <v>1990</v>
      </c>
      <c r="B12" t="s">
        <v>5</v>
      </c>
      <c r="C12">
        <v>45</v>
      </c>
      <c r="D12">
        <v>4</v>
      </c>
    </row>
    <row r="13" spans="1:4" x14ac:dyDescent="0.3">
      <c r="A13">
        <v>1990</v>
      </c>
      <c r="B13" t="s">
        <v>5</v>
      </c>
      <c r="C13">
        <v>50</v>
      </c>
      <c r="D13">
        <v>2</v>
      </c>
    </row>
    <row r="14" spans="1:4" x14ac:dyDescent="0.3">
      <c r="A14">
        <v>1990</v>
      </c>
      <c r="B14" t="s">
        <v>5</v>
      </c>
      <c r="C14">
        <v>55</v>
      </c>
      <c r="D14">
        <v>2</v>
      </c>
    </row>
    <row r="15" spans="1:4" x14ac:dyDescent="0.3">
      <c r="A15">
        <v>1990</v>
      </c>
      <c r="B15" t="s">
        <v>5</v>
      </c>
      <c r="C15">
        <v>60</v>
      </c>
      <c r="D15">
        <v>0</v>
      </c>
    </row>
    <row r="16" spans="1:4" x14ac:dyDescent="0.3">
      <c r="A16">
        <v>1990</v>
      </c>
      <c r="B16" t="s">
        <v>5</v>
      </c>
      <c r="C16">
        <v>65</v>
      </c>
      <c r="D16">
        <v>2</v>
      </c>
    </row>
    <row r="17" spans="1:4" x14ac:dyDescent="0.3">
      <c r="A17">
        <v>1990</v>
      </c>
      <c r="B17" t="s">
        <v>5</v>
      </c>
      <c r="C17">
        <v>70</v>
      </c>
      <c r="D17">
        <v>0</v>
      </c>
    </row>
    <row r="18" spans="1:4" x14ac:dyDescent="0.3">
      <c r="A18">
        <v>1990</v>
      </c>
      <c r="B18" t="s">
        <v>5</v>
      </c>
      <c r="C18">
        <v>75</v>
      </c>
      <c r="D18">
        <v>0</v>
      </c>
    </row>
    <row r="19" spans="1:4" x14ac:dyDescent="0.3">
      <c r="A19">
        <v>1990</v>
      </c>
      <c r="B19" t="s">
        <v>5</v>
      </c>
      <c r="C19">
        <v>80</v>
      </c>
      <c r="D19">
        <v>0</v>
      </c>
    </row>
    <row r="20" spans="1:4" x14ac:dyDescent="0.3">
      <c r="A20">
        <v>1990</v>
      </c>
      <c r="B20" t="s">
        <v>5</v>
      </c>
      <c r="C20">
        <v>85</v>
      </c>
      <c r="D20">
        <v>0</v>
      </c>
    </row>
    <row r="21" spans="1:4" x14ac:dyDescent="0.3">
      <c r="A21">
        <v>1991</v>
      </c>
      <c r="B21" t="s">
        <v>5</v>
      </c>
      <c r="C21">
        <v>0</v>
      </c>
      <c r="D21">
        <v>0</v>
      </c>
    </row>
    <row r="22" spans="1:4" x14ac:dyDescent="0.3">
      <c r="A22">
        <v>1991</v>
      </c>
      <c r="B22" t="s">
        <v>5</v>
      </c>
      <c r="C22">
        <v>1</v>
      </c>
      <c r="D22">
        <v>2</v>
      </c>
    </row>
    <row r="23" spans="1:4" x14ac:dyDescent="0.3">
      <c r="A23">
        <v>1991</v>
      </c>
      <c r="B23" t="s">
        <v>5</v>
      </c>
      <c r="C23">
        <v>5</v>
      </c>
      <c r="D23">
        <v>0</v>
      </c>
    </row>
    <row r="24" spans="1:4" x14ac:dyDescent="0.3">
      <c r="A24">
        <v>1991</v>
      </c>
      <c r="B24" t="s">
        <v>5</v>
      </c>
      <c r="C24">
        <v>10</v>
      </c>
      <c r="D24">
        <v>0</v>
      </c>
    </row>
    <row r="25" spans="1:4" x14ac:dyDescent="0.3">
      <c r="A25">
        <v>1991</v>
      </c>
      <c r="B25" t="s">
        <v>5</v>
      </c>
      <c r="C25">
        <v>15</v>
      </c>
      <c r="D25">
        <v>0</v>
      </c>
    </row>
    <row r="26" spans="1:4" x14ac:dyDescent="0.3">
      <c r="A26">
        <v>1991</v>
      </c>
      <c r="B26" t="s">
        <v>5</v>
      </c>
      <c r="C26">
        <v>20</v>
      </c>
      <c r="D26">
        <v>2</v>
      </c>
    </row>
    <row r="27" spans="1:4" x14ac:dyDescent="0.3">
      <c r="A27">
        <v>1991</v>
      </c>
      <c r="B27" t="s">
        <v>5</v>
      </c>
      <c r="C27">
        <v>25</v>
      </c>
      <c r="D27">
        <v>0</v>
      </c>
    </row>
    <row r="28" spans="1:4" x14ac:dyDescent="0.3">
      <c r="A28">
        <v>1991</v>
      </c>
      <c r="B28" t="s">
        <v>5</v>
      </c>
      <c r="C28">
        <v>30</v>
      </c>
      <c r="D28">
        <v>0</v>
      </c>
    </row>
    <row r="29" spans="1:4" x14ac:dyDescent="0.3">
      <c r="A29">
        <v>1991</v>
      </c>
      <c r="B29" t="s">
        <v>5</v>
      </c>
      <c r="C29">
        <v>35</v>
      </c>
      <c r="D29">
        <v>0</v>
      </c>
    </row>
    <row r="30" spans="1:4" x14ac:dyDescent="0.3">
      <c r="A30">
        <v>1991</v>
      </c>
      <c r="B30" t="s">
        <v>5</v>
      </c>
      <c r="C30">
        <v>40</v>
      </c>
      <c r="D30">
        <v>2</v>
      </c>
    </row>
    <row r="31" spans="1:4" x14ac:dyDescent="0.3">
      <c r="A31">
        <v>1991</v>
      </c>
      <c r="B31" t="s">
        <v>5</v>
      </c>
      <c r="C31">
        <v>45</v>
      </c>
      <c r="D31">
        <v>0</v>
      </c>
    </row>
    <row r="32" spans="1:4" x14ac:dyDescent="0.3">
      <c r="A32">
        <v>1991</v>
      </c>
      <c r="B32" t="s">
        <v>5</v>
      </c>
      <c r="C32">
        <v>50</v>
      </c>
      <c r="D32">
        <v>0</v>
      </c>
    </row>
    <row r="33" spans="1:4" x14ac:dyDescent="0.3">
      <c r="A33">
        <v>1991</v>
      </c>
      <c r="B33" t="s">
        <v>5</v>
      </c>
      <c r="C33">
        <v>55</v>
      </c>
      <c r="D33">
        <v>0</v>
      </c>
    </row>
    <row r="34" spans="1:4" x14ac:dyDescent="0.3">
      <c r="A34">
        <v>1991</v>
      </c>
      <c r="B34" t="s">
        <v>5</v>
      </c>
      <c r="C34">
        <v>60</v>
      </c>
      <c r="D34">
        <v>0</v>
      </c>
    </row>
    <row r="35" spans="1:4" x14ac:dyDescent="0.3">
      <c r="A35">
        <v>1991</v>
      </c>
      <c r="B35" t="s">
        <v>5</v>
      </c>
      <c r="C35">
        <v>65</v>
      </c>
      <c r="D35">
        <v>0</v>
      </c>
    </row>
    <row r="36" spans="1:4" x14ac:dyDescent="0.3">
      <c r="A36">
        <v>1991</v>
      </c>
      <c r="B36" t="s">
        <v>5</v>
      </c>
      <c r="C36">
        <v>70</v>
      </c>
      <c r="D36">
        <v>0</v>
      </c>
    </row>
    <row r="37" spans="1:4" x14ac:dyDescent="0.3">
      <c r="A37">
        <v>1991</v>
      </c>
      <c r="B37" t="s">
        <v>5</v>
      </c>
      <c r="C37">
        <v>75</v>
      </c>
      <c r="D37">
        <v>0</v>
      </c>
    </row>
    <row r="38" spans="1:4" x14ac:dyDescent="0.3">
      <c r="A38">
        <v>1991</v>
      </c>
      <c r="B38" t="s">
        <v>5</v>
      </c>
      <c r="C38">
        <v>80</v>
      </c>
      <c r="D38">
        <v>0</v>
      </c>
    </row>
    <row r="39" spans="1:4" x14ac:dyDescent="0.3">
      <c r="A39">
        <v>1991</v>
      </c>
      <c r="B39" t="s">
        <v>5</v>
      </c>
      <c r="C39">
        <v>85</v>
      </c>
      <c r="D39">
        <v>0</v>
      </c>
    </row>
    <row r="40" spans="1:4" x14ac:dyDescent="0.3">
      <c r="A40">
        <v>1992</v>
      </c>
      <c r="B40" t="s">
        <v>5</v>
      </c>
      <c r="C40">
        <v>0</v>
      </c>
      <c r="D40">
        <v>0</v>
      </c>
    </row>
    <row r="41" spans="1:4" x14ac:dyDescent="0.3">
      <c r="A41">
        <v>1992</v>
      </c>
      <c r="B41" t="s">
        <v>5</v>
      </c>
      <c r="C41">
        <v>1</v>
      </c>
      <c r="D41">
        <v>0</v>
      </c>
    </row>
    <row r="42" spans="1:4" x14ac:dyDescent="0.3">
      <c r="A42">
        <v>1992</v>
      </c>
      <c r="B42" t="s">
        <v>5</v>
      </c>
      <c r="C42">
        <v>5</v>
      </c>
      <c r="D42">
        <v>2</v>
      </c>
    </row>
    <row r="43" spans="1:4" x14ac:dyDescent="0.3">
      <c r="A43">
        <v>1992</v>
      </c>
      <c r="B43" t="s">
        <v>5</v>
      </c>
      <c r="C43">
        <v>10</v>
      </c>
      <c r="D43">
        <v>0</v>
      </c>
    </row>
    <row r="44" spans="1:4" x14ac:dyDescent="0.3">
      <c r="A44">
        <v>1992</v>
      </c>
      <c r="B44" t="s">
        <v>5</v>
      </c>
      <c r="C44">
        <v>15</v>
      </c>
      <c r="D44">
        <v>0</v>
      </c>
    </row>
    <row r="45" spans="1:4" x14ac:dyDescent="0.3">
      <c r="A45">
        <v>1992</v>
      </c>
      <c r="B45" t="s">
        <v>5</v>
      </c>
      <c r="C45">
        <v>20</v>
      </c>
      <c r="D45">
        <v>0</v>
      </c>
    </row>
    <row r="46" spans="1:4" x14ac:dyDescent="0.3">
      <c r="A46">
        <v>1992</v>
      </c>
      <c r="B46" t="s">
        <v>5</v>
      </c>
      <c r="C46">
        <v>25</v>
      </c>
      <c r="D46">
        <v>2</v>
      </c>
    </row>
    <row r="47" spans="1:4" x14ac:dyDescent="0.3">
      <c r="A47">
        <v>1992</v>
      </c>
      <c r="B47" t="s">
        <v>5</v>
      </c>
      <c r="C47">
        <v>30</v>
      </c>
      <c r="D47">
        <v>2</v>
      </c>
    </row>
    <row r="48" spans="1:4" x14ac:dyDescent="0.3">
      <c r="A48">
        <v>1992</v>
      </c>
      <c r="B48" t="s">
        <v>5</v>
      </c>
      <c r="C48">
        <v>35</v>
      </c>
      <c r="D48">
        <v>0</v>
      </c>
    </row>
    <row r="49" spans="1:4" x14ac:dyDescent="0.3">
      <c r="A49">
        <v>1992</v>
      </c>
      <c r="B49" t="s">
        <v>5</v>
      </c>
      <c r="C49">
        <v>40</v>
      </c>
      <c r="D49">
        <v>2</v>
      </c>
    </row>
    <row r="50" spans="1:4" x14ac:dyDescent="0.3">
      <c r="A50">
        <v>1992</v>
      </c>
      <c r="B50" t="s">
        <v>5</v>
      </c>
      <c r="C50">
        <v>45</v>
      </c>
      <c r="D50">
        <v>4</v>
      </c>
    </row>
    <row r="51" spans="1:4" x14ac:dyDescent="0.3">
      <c r="A51">
        <v>1992</v>
      </c>
      <c r="B51" t="s">
        <v>5</v>
      </c>
      <c r="C51">
        <v>50</v>
      </c>
      <c r="D51">
        <v>0</v>
      </c>
    </row>
    <row r="52" spans="1:4" x14ac:dyDescent="0.3">
      <c r="A52">
        <v>1992</v>
      </c>
      <c r="B52" t="s">
        <v>5</v>
      </c>
      <c r="C52">
        <v>55</v>
      </c>
      <c r="D52">
        <v>0</v>
      </c>
    </row>
    <row r="53" spans="1:4" x14ac:dyDescent="0.3">
      <c r="A53">
        <v>1992</v>
      </c>
      <c r="B53" t="s">
        <v>5</v>
      </c>
      <c r="C53">
        <v>60</v>
      </c>
      <c r="D53">
        <v>0</v>
      </c>
    </row>
    <row r="54" spans="1:4" x14ac:dyDescent="0.3">
      <c r="A54">
        <v>1992</v>
      </c>
      <c r="B54" t="s">
        <v>5</v>
      </c>
      <c r="C54">
        <v>65</v>
      </c>
      <c r="D54">
        <v>0</v>
      </c>
    </row>
    <row r="55" spans="1:4" x14ac:dyDescent="0.3">
      <c r="A55">
        <v>1992</v>
      </c>
      <c r="B55" t="s">
        <v>5</v>
      </c>
      <c r="C55">
        <v>70</v>
      </c>
      <c r="D55">
        <v>0</v>
      </c>
    </row>
    <row r="56" spans="1:4" x14ac:dyDescent="0.3">
      <c r="A56">
        <v>1992</v>
      </c>
      <c r="B56" t="s">
        <v>5</v>
      </c>
      <c r="C56">
        <v>75</v>
      </c>
      <c r="D56">
        <v>0</v>
      </c>
    </row>
    <row r="57" spans="1:4" x14ac:dyDescent="0.3">
      <c r="A57">
        <v>1992</v>
      </c>
      <c r="B57" t="s">
        <v>5</v>
      </c>
      <c r="C57">
        <v>80</v>
      </c>
      <c r="D57">
        <v>0</v>
      </c>
    </row>
    <row r="58" spans="1:4" x14ac:dyDescent="0.3">
      <c r="A58">
        <v>1992</v>
      </c>
      <c r="B58" t="s">
        <v>5</v>
      </c>
      <c r="C58">
        <v>85</v>
      </c>
      <c r="D58">
        <v>0</v>
      </c>
    </row>
    <row r="59" spans="1:4" x14ac:dyDescent="0.3">
      <c r="A59">
        <v>1993</v>
      </c>
      <c r="B59" t="s">
        <v>5</v>
      </c>
      <c r="C59">
        <v>0</v>
      </c>
      <c r="D59">
        <v>0</v>
      </c>
    </row>
    <row r="60" spans="1:4" x14ac:dyDescent="0.3">
      <c r="A60">
        <v>1993</v>
      </c>
      <c r="B60" t="s">
        <v>5</v>
      </c>
      <c r="C60">
        <v>1</v>
      </c>
      <c r="D60">
        <v>0</v>
      </c>
    </row>
    <row r="61" spans="1:4" x14ac:dyDescent="0.3">
      <c r="A61">
        <v>1993</v>
      </c>
      <c r="B61" t="s">
        <v>5</v>
      </c>
      <c r="C61">
        <v>5</v>
      </c>
      <c r="D61">
        <v>2</v>
      </c>
    </row>
    <row r="62" spans="1:4" x14ac:dyDescent="0.3">
      <c r="A62">
        <v>1993</v>
      </c>
      <c r="B62" t="s">
        <v>5</v>
      </c>
      <c r="C62">
        <v>10</v>
      </c>
      <c r="D62">
        <v>0</v>
      </c>
    </row>
    <row r="63" spans="1:4" x14ac:dyDescent="0.3">
      <c r="A63">
        <v>1993</v>
      </c>
      <c r="B63" t="s">
        <v>5</v>
      </c>
      <c r="C63">
        <v>15</v>
      </c>
      <c r="D63">
        <v>0</v>
      </c>
    </row>
    <row r="64" spans="1:4" x14ac:dyDescent="0.3">
      <c r="A64">
        <v>1993</v>
      </c>
      <c r="B64" t="s">
        <v>5</v>
      </c>
      <c r="C64">
        <v>20</v>
      </c>
      <c r="D64">
        <v>2</v>
      </c>
    </row>
    <row r="65" spans="1:4" x14ac:dyDescent="0.3">
      <c r="A65">
        <v>1993</v>
      </c>
      <c r="B65" t="s">
        <v>5</v>
      </c>
      <c r="C65">
        <v>25</v>
      </c>
      <c r="D65">
        <v>2</v>
      </c>
    </row>
    <row r="66" spans="1:4" x14ac:dyDescent="0.3">
      <c r="A66">
        <v>1993</v>
      </c>
      <c r="B66" t="s">
        <v>5</v>
      </c>
      <c r="C66">
        <v>30</v>
      </c>
      <c r="D66">
        <v>4</v>
      </c>
    </row>
    <row r="67" spans="1:4" x14ac:dyDescent="0.3">
      <c r="A67">
        <v>1993</v>
      </c>
      <c r="B67" t="s">
        <v>5</v>
      </c>
      <c r="C67">
        <v>35</v>
      </c>
      <c r="D67">
        <v>0</v>
      </c>
    </row>
    <row r="68" spans="1:4" x14ac:dyDescent="0.3">
      <c r="A68">
        <v>1993</v>
      </c>
      <c r="B68" t="s">
        <v>5</v>
      </c>
      <c r="C68">
        <v>40</v>
      </c>
      <c r="D68">
        <v>2</v>
      </c>
    </row>
    <row r="69" spans="1:4" x14ac:dyDescent="0.3">
      <c r="A69">
        <v>1993</v>
      </c>
      <c r="B69" t="s">
        <v>5</v>
      </c>
      <c r="C69">
        <v>45</v>
      </c>
      <c r="D69">
        <v>0</v>
      </c>
    </row>
    <row r="70" spans="1:4" x14ac:dyDescent="0.3">
      <c r="A70">
        <v>1993</v>
      </c>
      <c r="B70" t="s">
        <v>5</v>
      </c>
      <c r="C70">
        <v>50</v>
      </c>
      <c r="D70">
        <v>0</v>
      </c>
    </row>
    <row r="71" spans="1:4" x14ac:dyDescent="0.3">
      <c r="A71">
        <v>1993</v>
      </c>
      <c r="B71" t="s">
        <v>5</v>
      </c>
      <c r="C71">
        <v>55</v>
      </c>
      <c r="D71">
        <v>0</v>
      </c>
    </row>
    <row r="72" spans="1:4" x14ac:dyDescent="0.3">
      <c r="A72">
        <v>1993</v>
      </c>
      <c r="B72" t="s">
        <v>5</v>
      </c>
      <c r="C72">
        <v>60</v>
      </c>
      <c r="D72">
        <v>0</v>
      </c>
    </row>
    <row r="73" spans="1:4" x14ac:dyDescent="0.3">
      <c r="A73">
        <v>1993</v>
      </c>
      <c r="B73" t="s">
        <v>5</v>
      </c>
      <c r="C73">
        <v>65</v>
      </c>
      <c r="D73">
        <v>2</v>
      </c>
    </row>
    <row r="74" spans="1:4" x14ac:dyDescent="0.3">
      <c r="A74">
        <v>1993</v>
      </c>
      <c r="B74" t="s">
        <v>5</v>
      </c>
      <c r="C74">
        <v>70</v>
      </c>
      <c r="D74">
        <v>0</v>
      </c>
    </row>
    <row r="75" spans="1:4" x14ac:dyDescent="0.3">
      <c r="A75">
        <v>1993</v>
      </c>
      <c r="B75" t="s">
        <v>5</v>
      </c>
      <c r="C75">
        <v>75</v>
      </c>
      <c r="D75">
        <v>0</v>
      </c>
    </row>
    <row r="76" spans="1:4" x14ac:dyDescent="0.3">
      <c r="A76">
        <v>1993</v>
      </c>
      <c r="B76" t="s">
        <v>5</v>
      </c>
      <c r="C76">
        <v>80</v>
      </c>
      <c r="D76">
        <v>0</v>
      </c>
    </row>
    <row r="77" spans="1:4" x14ac:dyDescent="0.3">
      <c r="A77">
        <v>1993</v>
      </c>
      <c r="B77" t="s">
        <v>5</v>
      </c>
      <c r="C77">
        <v>85</v>
      </c>
      <c r="D77">
        <v>0</v>
      </c>
    </row>
    <row r="78" spans="1:4" x14ac:dyDescent="0.3">
      <c r="A78">
        <v>1994</v>
      </c>
      <c r="B78" t="s">
        <v>5</v>
      </c>
      <c r="C78">
        <v>0</v>
      </c>
      <c r="D78">
        <v>0</v>
      </c>
    </row>
    <row r="79" spans="1:4" x14ac:dyDescent="0.3">
      <c r="A79">
        <v>1994</v>
      </c>
      <c r="B79" t="s">
        <v>5</v>
      </c>
      <c r="C79">
        <v>1</v>
      </c>
      <c r="D79">
        <v>0</v>
      </c>
    </row>
    <row r="80" spans="1:4" x14ac:dyDescent="0.3">
      <c r="A80">
        <v>1994</v>
      </c>
      <c r="B80" t="s">
        <v>5</v>
      </c>
      <c r="C80">
        <v>5</v>
      </c>
      <c r="D80">
        <v>0</v>
      </c>
    </row>
    <row r="81" spans="1:4" x14ac:dyDescent="0.3">
      <c r="A81">
        <v>1994</v>
      </c>
      <c r="B81" t="s">
        <v>5</v>
      </c>
      <c r="C81">
        <v>10</v>
      </c>
      <c r="D81">
        <v>0</v>
      </c>
    </row>
    <row r="82" spans="1:4" x14ac:dyDescent="0.3">
      <c r="A82">
        <v>1994</v>
      </c>
      <c r="B82" t="s">
        <v>5</v>
      </c>
      <c r="C82">
        <v>15</v>
      </c>
      <c r="D82">
        <v>2</v>
      </c>
    </row>
    <row r="83" spans="1:4" x14ac:dyDescent="0.3">
      <c r="A83">
        <v>1994</v>
      </c>
      <c r="B83" t="s">
        <v>5</v>
      </c>
      <c r="C83">
        <v>20</v>
      </c>
      <c r="D83">
        <v>0</v>
      </c>
    </row>
    <row r="84" spans="1:4" x14ac:dyDescent="0.3">
      <c r="A84">
        <v>1994</v>
      </c>
      <c r="B84" t="s">
        <v>5</v>
      </c>
      <c r="C84">
        <v>25</v>
      </c>
      <c r="D84">
        <v>4</v>
      </c>
    </row>
    <row r="85" spans="1:4" x14ac:dyDescent="0.3">
      <c r="A85">
        <v>1994</v>
      </c>
      <c r="B85" t="s">
        <v>5</v>
      </c>
      <c r="C85">
        <v>30</v>
      </c>
      <c r="D85">
        <v>0</v>
      </c>
    </row>
    <row r="86" spans="1:4" x14ac:dyDescent="0.3">
      <c r="A86">
        <v>1994</v>
      </c>
      <c r="B86" t="s">
        <v>5</v>
      </c>
      <c r="C86">
        <v>35</v>
      </c>
      <c r="D86">
        <v>2</v>
      </c>
    </row>
    <row r="87" spans="1:4" x14ac:dyDescent="0.3">
      <c r="A87">
        <v>1994</v>
      </c>
      <c r="B87" t="s">
        <v>5</v>
      </c>
      <c r="C87">
        <v>40</v>
      </c>
      <c r="D87">
        <v>0</v>
      </c>
    </row>
    <row r="88" spans="1:4" x14ac:dyDescent="0.3">
      <c r="A88">
        <v>1994</v>
      </c>
      <c r="B88" t="s">
        <v>5</v>
      </c>
      <c r="C88">
        <v>45</v>
      </c>
      <c r="D88">
        <v>0</v>
      </c>
    </row>
    <row r="89" spans="1:4" x14ac:dyDescent="0.3">
      <c r="A89">
        <v>1994</v>
      </c>
      <c r="B89" t="s">
        <v>5</v>
      </c>
      <c r="C89">
        <v>50</v>
      </c>
      <c r="D89">
        <v>0</v>
      </c>
    </row>
    <row r="90" spans="1:4" x14ac:dyDescent="0.3">
      <c r="A90">
        <v>1994</v>
      </c>
      <c r="B90" t="s">
        <v>5</v>
      </c>
      <c r="C90">
        <v>55</v>
      </c>
      <c r="D90">
        <v>0</v>
      </c>
    </row>
    <row r="91" spans="1:4" x14ac:dyDescent="0.3">
      <c r="A91">
        <v>1994</v>
      </c>
      <c r="B91" t="s">
        <v>5</v>
      </c>
      <c r="C91">
        <v>60</v>
      </c>
      <c r="D91">
        <v>0</v>
      </c>
    </row>
    <row r="92" spans="1:4" x14ac:dyDescent="0.3">
      <c r="A92">
        <v>1994</v>
      </c>
      <c r="B92" t="s">
        <v>5</v>
      </c>
      <c r="C92">
        <v>65</v>
      </c>
      <c r="D92">
        <v>0</v>
      </c>
    </row>
    <row r="93" spans="1:4" x14ac:dyDescent="0.3">
      <c r="A93">
        <v>1994</v>
      </c>
      <c r="B93" t="s">
        <v>5</v>
      </c>
      <c r="C93">
        <v>70</v>
      </c>
      <c r="D93">
        <v>0</v>
      </c>
    </row>
    <row r="94" spans="1:4" x14ac:dyDescent="0.3">
      <c r="A94">
        <v>1994</v>
      </c>
      <c r="B94" t="s">
        <v>5</v>
      </c>
      <c r="C94">
        <v>75</v>
      </c>
      <c r="D94">
        <v>0</v>
      </c>
    </row>
    <row r="95" spans="1:4" x14ac:dyDescent="0.3">
      <c r="A95">
        <v>1994</v>
      </c>
      <c r="B95" t="s">
        <v>5</v>
      </c>
      <c r="C95">
        <v>80</v>
      </c>
      <c r="D95">
        <v>0</v>
      </c>
    </row>
    <row r="96" spans="1:4" x14ac:dyDescent="0.3">
      <c r="A96">
        <v>1994</v>
      </c>
      <c r="B96" t="s">
        <v>5</v>
      </c>
      <c r="C96">
        <v>85</v>
      </c>
      <c r="D96">
        <v>0</v>
      </c>
    </row>
    <row r="97" spans="1:4" x14ac:dyDescent="0.3">
      <c r="A97">
        <v>1995</v>
      </c>
      <c r="B97" t="s">
        <v>5</v>
      </c>
      <c r="C97">
        <v>0</v>
      </c>
      <c r="D97">
        <v>0</v>
      </c>
    </row>
    <row r="98" spans="1:4" x14ac:dyDescent="0.3">
      <c r="A98">
        <v>1995</v>
      </c>
      <c r="B98" t="s">
        <v>5</v>
      </c>
      <c r="C98">
        <v>1</v>
      </c>
      <c r="D98">
        <v>0</v>
      </c>
    </row>
    <row r="99" spans="1:4" x14ac:dyDescent="0.3">
      <c r="A99">
        <v>1995</v>
      </c>
      <c r="B99" t="s">
        <v>5</v>
      </c>
      <c r="C99">
        <v>5</v>
      </c>
      <c r="D99">
        <v>0</v>
      </c>
    </row>
    <row r="100" spans="1:4" x14ac:dyDescent="0.3">
      <c r="A100">
        <v>1995</v>
      </c>
      <c r="B100" t="s">
        <v>5</v>
      </c>
      <c r="C100">
        <v>10</v>
      </c>
      <c r="D100">
        <v>2</v>
      </c>
    </row>
    <row r="101" spans="1:4" x14ac:dyDescent="0.3">
      <c r="A101">
        <v>1995</v>
      </c>
      <c r="B101" t="s">
        <v>5</v>
      </c>
      <c r="C101">
        <v>15</v>
      </c>
      <c r="D101">
        <v>0</v>
      </c>
    </row>
    <row r="102" spans="1:4" x14ac:dyDescent="0.3">
      <c r="A102">
        <v>1995</v>
      </c>
      <c r="B102" t="s">
        <v>5</v>
      </c>
      <c r="C102">
        <v>20</v>
      </c>
      <c r="D102">
        <v>2</v>
      </c>
    </row>
    <row r="103" spans="1:4" x14ac:dyDescent="0.3">
      <c r="A103">
        <v>1995</v>
      </c>
      <c r="B103" t="s">
        <v>5</v>
      </c>
      <c r="C103">
        <v>25</v>
      </c>
      <c r="D103">
        <v>0</v>
      </c>
    </row>
    <row r="104" spans="1:4" x14ac:dyDescent="0.3">
      <c r="A104">
        <v>1995</v>
      </c>
      <c r="B104" t="s">
        <v>5</v>
      </c>
      <c r="C104">
        <v>30</v>
      </c>
      <c r="D104">
        <v>0</v>
      </c>
    </row>
    <row r="105" spans="1:4" x14ac:dyDescent="0.3">
      <c r="A105">
        <v>1995</v>
      </c>
      <c r="B105" t="s">
        <v>5</v>
      </c>
      <c r="C105">
        <v>35</v>
      </c>
      <c r="D105">
        <v>4</v>
      </c>
    </row>
    <row r="106" spans="1:4" x14ac:dyDescent="0.3">
      <c r="A106">
        <v>1995</v>
      </c>
      <c r="B106" t="s">
        <v>5</v>
      </c>
      <c r="C106">
        <v>40</v>
      </c>
      <c r="D106">
        <v>2</v>
      </c>
    </row>
    <row r="107" spans="1:4" x14ac:dyDescent="0.3">
      <c r="A107">
        <v>1995</v>
      </c>
      <c r="B107" t="s">
        <v>5</v>
      </c>
      <c r="C107">
        <v>45</v>
      </c>
      <c r="D107">
        <v>0</v>
      </c>
    </row>
    <row r="108" spans="1:4" x14ac:dyDescent="0.3">
      <c r="A108">
        <v>1995</v>
      </c>
      <c r="B108" t="s">
        <v>5</v>
      </c>
      <c r="C108">
        <v>50</v>
      </c>
      <c r="D108">
        <v>0</v>
      </c>
    </row>
    <row r="109" spans="1:4" x14ac:dyDescent="0.3">
      <c r="A109">
        <v>1995</v>
      </c>
      <c r="B109" t="s">
        <v>5</v>
      </c>
      <c r="C109">
        <v>55</v>
      </c>
      <c r="D109">
        <v>0</v>
      </c>
    </row>
    <row r="110" spans="1:4" x14ac:dyDescent="0.3">
      <c r="A110">
        <v>1995</v>
      </c>
      <c r="B110" t="s">
        <v>5</v>
      </c>
      <c r="C110">
        <v>60</v>
      </c>
      <c r="D110">
        <v>0</v>
      </c>
    </row>
    <row r="111" spans="1:4" x14ac:dyDescent="0.3">
      <c r="A111">
        <v>1995</v>
      </c>
      <c r="B111" t="s">
        <v>5</v>
      </c>
      <c r="C111">
        <v>65</v>
      </c>
      <c r="D111">
        <v>0</v>
      </c>
    </row>
    <row r="112" spans="1:4" x14ac:dyDescent="0.3">
      <c r="A112">
        <v>1995</v>
      </c>
      <c r="B112" t="s">
        <v>5</v>
      </c>
      <c r="C112">
        <v>70</v>
      </c>
      <c r="D112">
        <v>0</v>
      </c>
    </row>
    <row r="113" spans="1:4" x14ac:dyDescent="0.3">
      <c r="A113">
        <v>1995</v>
      </c>
      <c r="B113" t="s">
        <v>5</v>
      </c>
      <c r="C113">
        <v>75</v>
      </c>
      <c r="D113">
        <v>0</v>
      </c>
    </row>
    <row r="114" spans="1:4" x14ac:dyDescent="0.3">
      <c r="A114">
        <v>1995</v>
      </c>
      <c r="B114" t="s">
        <v>5</v>
      </c>
      <c r="C114">
        <v>80</v>
      </c>
      <c r="D114">
        <v>0</v>
      </c>
    </row>
    <row r="115" spans="1:4" x14ac:dyDescent="0.3">
      <c r="A115">
        <v>1995</v>
      </c>
      <c r="B115" t="s">
        <v>5</v>
      </c>
      <c r="C115">
        <v>85</v>
      </c>
      <c r="D115">
        <v>2</v>
      </c>
    </row>
    <row r="116" spans="1:4" x14ac:dyDescent="0.3">
      <c r="A116">
        <v>1996</v>
      </c>
      <c r="B116" t="s">
        <v>5</v>
      </c>
      <c r="C116">
        <v>0</v>
      </c>
      <c r="D116">
        <v>0</v>
      </c>
    </row>
    <row r="117" spans="1:4" x14ac:dyDescent="0.3">
      <c r="A117">
        <v>1996</v>
      </c>
      <c r="B117" t="s">
        <v>5</v>
      </c>
      <c r="C117">
        <v>1</v>
      </c>
      <c r="D117">
        <v>2</v>
      </c>
    </row>
    <row r="118" spans="1:4" x14ac:dyDescent="0.3">
      <c r="A118">
        <v>1996</v>
      </c>
      <c r="B118" t="s">
        <v>5</v>
      </c>
      <c r="C118">
        <v>5</v>
      </c>
      <c r="D118">
        <v>0</v>
      </c>
    </row>
    <row r="119" spans="1:4" x14ac:dyDescent="0.3">
      <c r="A119">
        <v>1996</v>
      </c>
      <c r="B119" t="s">
        <v>5</v>
      </c>
      <c r="C119">
        <v>10</v>
      </c>
      <c r="D119">
        <v>0</v>
      </c>
    </row>
    <row r="120" spans="1:4" x14ac:dyDescent="0.3">
      <c r="A120">
        <v>1996</v>
      </c>
      <c r="B120" t="s">
        <v>5</v>
      </c>
      <c r="C120">
        <v>15</v>
      </c>
      <c r="D120">
        <v>2</v>
      </c>
    </row>
    <row r="121" spans="1:4" x14ac:dyDescent="0.3">
      <c r="A121">
        <v>1996</v>
      </c>
      <c r="B121" t="s">
        <v>5</v>
      </c>
      <c r="C121">
        <v>20</v>
      </c>
      <c r="D121">
        <v>0</v>
      </c>
    </row>
    <row r="122" spans="1:4" x14ac:dyDescent="0.3">
      <c r="A122">
        <v>1996</v>
      </c>
      <c r="B122" t="s">
        <v>5</v>
      </c>
      <c r="C122">
        <v>25</v>
      </c>
      <c r="D122">
        <v>0</v>
      </c>
    </row>
    <row r="123" spans="1:4" x14ac:dyDescent="0.3">
      <c r="A123">
        <v>1996</v>
      </c>
      <c r="B123" t="s">
        <v>5</v>
      </c>
      <c r="C123">
        <v>30</v>
      </c>
      <c r="D123">
        <v>2</v>
      </c>
    </row>
    <row r="124" spans="1:4" x14ac:dyDescent="0.3">
      <c r="A124">
        <v>1996</v>
      </c>
      <c r="B124" t="s">
        <v>5</v>
      </c>
      <c r="C124">
        <v>35</v>
      </c>
      <c r="D124">
        <v>0</v>
      </c>
    </row>
    <row r="125" spans="1:4" x14ac:dyDescent="0.3">
      <c r="A125">
        <v>1996</v>
      </c>
      <c r="B125" t="s">
        <v>5</v>
      </c>
      <c r="C125">
        <v>40</v>
      </c>
      <c r="D125">
        <v>0</v>
      </c>
    </row>
    <row r="126" spans="1:4" x14ac:dyDescent="0.3">
      <c r="A126">
        <v>1996</v>
      </c>
      <c r="B126" t="s">
        <v>5</v>
      </c>
      <c r="C126">
        <v>45</v>
      </c>
      <c r="D126">
        <v>2</v>
      </c>
    </row>
    <row r="127" spans="1:4" x14ac:dyDescent="0.3">
      <c r="A127">
        <v>1996</v>
      </c>
      <c r="B127" t="s">
        <v>5</v>
      </c>
      <c r="C127">
        <v>50</v>
      </c>
      <c r="D127">
        <v>0</v>
      </c>
    </row>
    <row r="128" spans="1:4" x14ac:dyDescent="0.3">
      <c r="A128">
        <v>1996</v>
      </c>
      <c r="B128" t="s">
        <v>5</v>
      </c>
      <c r="C128">
        <v>55</v>
      </c>
      <c r="D128">
        <v>0</v>
      </c>
    </row>
    <row r="129" spans="1:4" x14ac:dyDescent="0.3">
      <c r="A129">
        <v>1996</v>
      </c>
      <c r="B129" t="s">
        <v>5</v>
      </c>
      <c r="C129">
        <v>60</v>
      </c>
      <c r="D129">
        <v>0</v>
      </c>
    </row>
    <row r="130" spans="1:4" x14ac:dyDescent="0.3">
      <c r="A130">
        <v>1996</v>
      </c>
      <c r="B130" t="s">
        <v>5</v>
      </c>
      <c r="C130">
        <v>65</v>
      </c>
      <c r="D130">
        <v>0</v>
      </c>
    </row>
    <row r="131" spans="1:4" x14ac:dyDescent="0.3">
      <c r="A131">
        <v>1996</v>
      </c>
      <c r="B131" t="s">
        <v>5</v>
      </c>
      <c r="C131">
        <v>70</v>
      </c>
      <c r="D131">
        <v>0</v>
      </c>
    </row>
    <row r="132" spans="1:4" x14ac:dyDescent="0.3">
      <c r="A132">
        <v>1996</v>
      </c>
      <c r="B132" t="s">
        <v>5</v>
      </c>
      <c r="C132">
        <v>75</v>
      </c>
      <c r="D132">
        <v>0</v>
      </c>
    </row>
    <row r="133" spans="1:4" x14ac:dyDescent="0.3">
      <c r="A133">
        <v>1996</v>
      </c>
      <c r="B133" t="s">
        <v>5</v>
      </c>
      <c r="C133">
        <v>80</v>
      </c>
      <c r="D133">
        <v>0</v>
      </c>
    </row>
    <row r="134" spans="1:4" x14ac:dyDescent="0.3">
      <c r="A134">
        <v>1996</v>
      </c>
      <c r="B134" t="s">
        <v>5</v>
      </c>
      <c r="C134">
        <v>85</v>
      </c>
      <c r="D134">
        <v>0</v>
      </c>
    </row>
    <row r="135" spans="1:4" x14ac:dyDescent="0.3">
      <c r="A135">
        <v>1997</v>
      </c>
      <c r="B135" t="s">
        <v>5</v>
      </c>
      <c r="C135">
        <v>0</v>
      </c>
      <c r="D135">
        <v>0</v>
      </c>
    </row>
    <row r="136" spans="1:4" x14ac:dyDescent="0.3">
      <c r="A136">
        <v>1997</v>
      </c>
      <c r="B136" t="s">
        <v>5</v>
      </c>
      <c r="C136">
        <v>1</v>
      </c>
      <c r="D136">
        <v>0</v>
      </c>
    </row>
    <row r="137" spans="1:4" x14ac:dyDescent="0.3">
      <c r="A137">
        <v>1997</v>
      </c>
      <c r="B137" t="s">
        <v>5</v>
      </c>
      <c r="C137">
        <v>5</v>
      </c>
      <c r="D137">
        <v>0</v>
      </c>
    </row>
    <row r="138" spans="1:4" x14ac:dyDescent="0.3">
      <c r="A138">
        <v>1997</v>
      </c>
      <c r="B138" t="s">
        <v>5</v>
      </c>
      <c r="C138">
        <v>10</v>
      </c>
      <c r="D138">
        <v>0</v>
      </c>
    </row>
    <row r="139" spans="1:4" x14ac:dyDescent="0.3">
      <c r="A139">
        <v>1997</v>
      </c>
      <c r="B139" t="s">
        <v>5</v>
      </c>
      <c r="C139">
        <v>15</v>
      </c>
      <c r="D139">
        <v>4</v>
      </c>
    </row>
    <row r="140" spans="1:4" x14ac:dyDescent="0.3">
      <c r="A140">
        <v>1997</v>
      </c>
      <c r="B140" t="s">
        <v>5</v>
      </c>
      <c r="C140">
        <v>20</v>
      </c>
      <c r="D140">
        <v>4</v>
      </c>
    </row>
    <row r="141" spans="1:4" x14ac:dyDescent="0.3">
      <c r="A141">
        <v>1997</v>
      </c>
      <c r="B141" t="s">
        <v>5</v>
      </c>
      <c r="C141">
        <v>25</v>
      </c>
      <c r="D141">
        <v>2</v>
      </c>
    </row>
    <row r="142" spans="1:4" x14ac:dyDescent="0.3">
      <c r="A142">
        <v>1997</v>
      </c>
      <c r="B142" t="s">
        <v>5</v>
      </c>
      <c r="C142">
        <v>30</v>
      </c>
      <c r="D142">
        <v>2</v>
      </c>
    </row>
    <row r="143" spans="1:4" x14ac:dyDescent="0.3">
      <c r="A143">
        <v>1997</v>
      </c>
      <c r="B143" t="s">
        <v>5</v>
      </c>
      <c r="C143">
        <v>35</v>
      </c>
      <c r="D143">
        <v>0</v>
      </c>
    </row>
    <row r="144" spans="1:4" x14ac:dyDescent="0.3">
      <c r="A144">
        <v>1997</v>
      </c>
      <c r="B144" t="s">
        <v>5</v>
      </c>
      <c r="C144">
        <v>40</v>
      </c>
      <c r="D144">
        <v>0</v>
      </c>
    </row>
    <row r="145" spans="1:4" x14ac:dyDescent="0.3">
      <c r="A145">
        <v>1997</v>
      </c>
      <c r="B145" t="s">
        <v>5</v>
      </c>
      <c r="C145">
        <v>45</v>
      </c>
      <c r="D145">
        <v>0</v>
      </c>
    </row>
    <row r="146" spans="1:4" x14ac:dyDescent="0.3">
      <c r="A146">
        <v>1997</v>
      </c>
      <c r="B146" t="s">
        <v>5</v>
      </c>
      <c r="C146">
        <v>50</v>
      </c>
      <c r="D146">
        <v>0</v>
      </c>
    </row>
    <row r="147" spans="1:4" x14ac:dyDescent="0.3">
      <c r="A147">
        <v>1997</v>
      </c>
      <c r="B147" t="s">
        <v>5</v>
      </c>
      <c r="C147">
        <v>55</v>
      </c>
      <c r="D147">
        <v>0</v>
      </c>
    </row>
    <row r="148" spans="1:4" x14ac:dyDescent="0.3">
      <c r="A148">
        <v>1997</v>
      </c>
      <c r="B148" t="s">
        <v>5</v>
      </c>
      <c r="C148">
        <v>60</v>
      </c>
      <c r="D148">
        <v>0</v>
      </c>
    </row>
    <row r="149" spans="1:4" x14ac:dyDescent="0.3">
      <c r="A149">
        <v>1997</v>
      </c>
      <c r="B149" t="s">
        <v>5</v>
      </c>
      <c r="C149">
        <v>65</v>
      </c>
      <c r="D149">
        <v>2</v>
      </c>
    </row>
    <row r="150" spans="1:4" x14ac:dyDescent="0.3">
      <c r="A150">
        <v>1997</v>
      </c>
      <c r="B150" t="s">
        <v>5</v>
      </c>
      <c r="C150">
        <v>70</v>
      </c>
      <c r="D150">
        <v>0</v>
      </c>
    </row>
    <row r="151" spans="1:4" x14ac:dyDescent="0.3">
      <c r="A151">
        <v>1997</v>
      </c>
      <c r="B151" t="s">
        <v>5</v>
      </c>
      <c r="C151">
        <v>75</v>
      </c>
      <c r="D151">
        <v>0</v>
      </c>
    </row>
    <row r="152" spans="1:4" x14ac:dyDescent="0.3">
      <c r="A152">
        <v>1997</v>
      </c>
      <c r="B152" t="s">
        <v>5</v>
      </c>
      <c r="C152">
        <v>80</v>
      </c>
      <c r="D152">
        <v>0</v>
      </c>
    </row>
    <row r="153" spans="1:4" x14ac:dyDescent="0.3">
      <c r="A153">
        <v>1997</v>
      </c>
      <c r="B153" t="s">
        <v>5</v>
      </c>
      <c r="C153">
        <v>85</v>
      </c>
      <c r="D153">
        <v>0</v>
      </c>
    </row>
    <row r="154" spans="1:4" x14ac:dyDescent="0.3">
      <c r="A154">
        <v>1998</v>
      </c>
      <c r="B154" t="s">
        <v>5</v>
      </c>
      <c r="C154">
        <v>0</v>
      </c>
      <c r="D154">
        <v>2</v>
      </c>
    </row>
    <row r="155" spans="1:4" x14ac:dyDescent="0.3">
      <c r="A155">
        <v>1998</v>
      </c>
      <c r="B155" t="s">
        <v>5</v>
      </c>
      <c r="C155">
        <v>1</v>
      </c>
      <c r="D155">
        <v>0</v>
      </c>
    </row>
    <row r="156" spans="1:4" x14ac:dyDescent="0.3">
      <c r="A156">
        <v>1998</v>
      </c>
      <c r="B156" t="s">
        <v>5</v>
      </c>
      <c r="C156">
        <v>5</v>
      </c>
      <c r="D156">
        <v>0</v>
      </c>
    </row>
    <row r="157" spans="1:4" x14ac:dyDescent="0.3">
      <c r="A157">
        <v>1998</v>
      </c>
      <c r="B157" t="s">
        <v>5</v>
      </c>
      <c r="C157">
        <v>10</v>
      </c>
      <c r="D157">
        <v>2</v>
      </c>
    </row>
    <row r="158" spans="1:4" x14ac:dyDescent="0.3">
      <c r="A158">
        <v>1998</v>
      </c>
      <c r="B158" t="s">
        <v>5</v>
      </c>
      <c r="C158">
        <v>15</v>
      </c>
      <c r="D158">
        <v>0</v>
      </c>
    </row>
    <row r="159" spans="1:4" x14ac:dyDescent="0.3">
      <c r="A159">
        <v>1998</v>
      </c>
      <c r="B159" t="s">
        <v>5</v>
      </c>
      <c r="C159">
        <v>20</v>
      </c>
      <c r="D159">
        <v>0</v>
      </c>
    </row>
    <row r="160" spans="1:4" x14ac:dyDescent="0.3">
      <c r="A160">
        <v>1998</v>
      </c>
      <c r="B160" t="s">
        <v>5</v>
      </c>
      <c r="C160">
        <v>25</v>
      </c>
      <c r="D160">
        <v>2</v>
      </c>
    </row>
    <row r="161" spans="1:4" x14ac:dyDescent="0.3">
      <c r="A161">
        <v>1998</v>
      </c>
      <c r="B161" t="s">
        <v>5</v>
      </c>
      <c r="C161">
        <v>30</v>
      </c>
      <c r="D161">
        <v>4</v>
      </c>
    </row>
    <row r="162" spans="1:4" x14ac:dyDescent="0.3">
      <c r="A162">
        <v>1998</v>
      </c>
      <c r="B162" t="s">
        <v>5</v>
      </c>
      <c r="C162">
        <v>35</v>
      </c>
      <c r="D162">
        <v>0</v>
      </c>
    </row>
    <row r="163" spans="1:4" x14ac:dyDescent="0.3">
      <c r="A163">
        <v>1998</v>
      </c>
      <c r="B163" t="s">
        <v>5</v>
      </c>
      <c r="C163">
        <v>40</v>
      </c>
      <c r="D163">
        <v>0</v>
      </c>
    </row>
    <row r="164" spans="1:4" x14ac:dyDescent="0.3">
      <c r="A164">
        <v>1998</v>
      </c>
      <c r="B164" t="s">
        <v>5</v>
      </c>
      <c r="C164">
        <v>45</v>
      </c>
      <c r="D164">
        <v>0</v>
      </c>
    </row>
    <row r="165" spans="1:4" x14ac:dyDescent="0.3">
      <c r="A165">
        <v>1998</v>
      </c>
      <c r="B165" t="s">
        <v>5</v>
      </c>
      <c r="C165">
        <v>50</v>
      </c>
      <c r="D165">
        <v>0</v>
      </c>
    </row>
    <row r="166" spans="1:4" x14ac:dyDescent="0.3">
      <c r="A166">
        <v>1998</v>
      </c>
      <c r="B166" t="s">
        <v>5</v>
      </c>
      <c r="C166">
        <v>55</v>
      </c>
      <c r="D166">
        <v>4</v>
      </c>
    </row>
    <row r="167" spans="1:4" x14ac:dyDescent="0.3">
      <c r="A167">
        <v>1998</v>
      </c>
      <c r="B167" t="s">
        <v>5</v>
      </c>
      <c r="C167">
        <v>60</v>
      </c>
      <c r="D167">
        <v>0</v>
      </c>
    </row>
    <row r="168" spans="1:4" x14ac:dyDescent="0.3">
      <c r="A168">
        <v>1998</v>
      </c>
      <c r="B168" t="s">
        <v>5</v>
      </c>
      <c r="C168">
        <v>65</v>
      </c>
      <c r="D168">
        <v>0</v>
      </c>
    </row>
    <row r="169" spans="1:4" x14ac:dyDescent="0.3">
      <c r="A169">
        <v>1998</v>
      </c>
      <c r="B169" t="s">
        <v>5</v>
      </c>
      <c r="C169">
        <v>70</v>
      </c>
      <c r="D169">
        <v>4</v>
      </c>
    </row>
    <row r="170" spans="1:4" x14ac:dyDescent="0.3">
      <c r="A170">
        <v>1998</v>
      </c>
      <c r="B170" t="s">
        <v>5</v>
      </c>
      <c r="C170">
        <v>75</v>
      </c>
      <c r="D170">
        <v>0</v>
      </c>
    </row>
    <row r="171" spans="1:4" x14ac:dyDescent="0.3">
      <c r="A171">
        <v>1998</v>
      </c>
      <c r="B171" t="s">
        <v>5</v>
      </c>
      <c r="C171">
        <v>80</v>
      </c>
      <c r="D171">
        <v>0</v>
      </c>
    </row>
    <row r="172" spans="1:4" x14ac:dyDescent="0.3">
      <c r="A172">
        <v>1998</v>
      </c>
      <c r="B172" t="s">
        <v>5</v>
      </c>
      <c r="C172">
        <v>85</v>
      </c>
      <c r="D172">
        <v>4</v>
      </c>
    </row>
    <row r="173" spans="1:4" x14ac:dyDescent="0.3">
      <c r="A173">
        <v>1999</v>
      </c>
      <c r="B173" t="s">
        <v>5</v>
      </c>
      <c r="C173">
        <v>0</v>
      </c>
      <c r="D173">
        <v>0</v>
      </c>
    </row>
    <row r="174" spans="1:4" x14ac:dyDescent="0.3">
      <c r="A174">
        <v>1999</v>
      </c>
      <c r="B174" t="s">
        <v>5</v>
      </c>
      <c r="C174">
        <v>1</v>
      </c>
      <c r="D174">
        <v>0</v>
      </c>
    </row>
    <row r="175" spans="1:4" x14ac:dyDescent="0.3">
      <c r="A175">
        <v>1999</v>
      </c>
      <c r="B175" t="s">
        <v>5</v>
      </c>
      <c r="C175">
        <v>5</v>
      </c>
      <c r="D175">
        <v>0</v>
      </c>
    </row>
    <row r="176" spans="1:4" x14ac:dyDescent="0.3">
      <c r="A176">
        <v>1999</v>
      </c>
      <c r="B176" t="s">
        <v>5</v>
      </c>
      <c r="C176">
        <v>10</v>
      </c>
      <c r="D176">
        <v>0</v>
      </c>
    </row>
    <row r="177" spans="1:4" x14ac:dyDescent="0.3">
      <c r="A177">
        <v>1999</v>
      </c>
      <c r="B177" t="s">
        <v>5</v>
      </c>
      <c r="C177">
        <v>15</v>
      </c>
      <c r="D177">
        <v>0</v>
      </c>
    </row>
    <row r="178" spans="1:4" x14ac:dyDescent="0.3">
      <c r="A178">
        <v>1999</v>
      </c>
      <c r="B178" t="s">
        <v>5</v>
      </c>
      <c r="C178">
        <v>20</v>
      </c>
      <c r="D178">
        <v>2</v>
      </c>
    </row>
    <row r="179" spans="1:4" x14ac:dyDescent="0.3">
      <c r="A179">
        <v>1999</v>
      </c>
      <c r="B179" t="s">
        <v>5</v>
      </c>
      <c r="C179">
        <v>25</v>
      </c>
      <c r="D179">
        <v>4</v>
      </c>
    </row>
    <row r="180" spans="1:4" x14ac:dyDescent="0.3">
      <c r="A180">
        <v>1999</v>
      </c>
      <c r="B180" t="s">
        <v>5</v>
      </c>
      <c r="C180">
        <v>30</v>
      </c>
      <c r="D180">
        <v>0</v>
      </c>
    </row>
    <row r="181" spans="1:4" x14ac:dyDescent="0.3">
      <c r="A181">
        <v>1999</v>
      </c>
      <c r="B181" t="s">
        <v>5</v>
      </c>
      <c r="C181">
        <v>35</v>
      </c>
      <c r="D181">
        <v>2</v>
      </c>
    </row>
    <row r="182" spans="1:4" x14ac:dyDescent="0.3">
      <c r="A182">
        <v>1999</v>
      </c>
      <c r="B182" t="s">
        <v>5</v>
      </c>
      <c r="C182">
        <v>40</v>
      </c>
      <c r="D182">
        <v>0</v>
      </c>
    </row>
    <row r="183" spans="1:4" x14ac:dyDescent="0.3">
      <c r="A183">
        <v>1999</v>
      </c>
      <c r="B183" t="s">
        <v>5</v>
      </c>
      <c r="C183">
        <v>45</v>
      </c>
      <c r="D183">
        <v>0</v>
      </c>
    </row>
    <row r="184" spans="1:4" x14ac:dyDescent="0.3">
      <c r="A184">
        <v>1999</v>
      </c>
      <c r="B184" t="s">
        <v>5</v>
      </c>
      <c r="C184">
        <v>50</v>
      </c>
      <c r="D184">
        <v>2</v>
      </c>
    </row>
    <row r="185" spans="1:4" x14ac:dyDescent="0.3">
      <c r="A185">
        <v>1999</v>
      </c>
      <c r="B185" t="s">
        <v>5</v>
      </c>
      <c r="C185">
        <v>55</v>
      </c>
      <c r="D185">
        <v>0</v>
      </c>
    </row>
    <row r="186" spans="1:4" x14ac:dyDescent="0.3">
      <c r="A186">
        <v>1999</v>
      </c>
      <c r="B186" t="s">
        <v>5</v>
      </c>
      <c r="C186">
        <v>60</v>
      </c>
      <c r="D186">
        <v>0</v>
      </c>
    </row>
    <row r="187" spans="1:4" x14ac:dyDescent="0.3">
      <c r="A187">
        <v>1999</v>
      </c>
      <c r="B187" t="s">
        <v>5</v>
      </c>
      <c r="C187">
        <v>65</v>
      </c>
      <c r="D187">
        <v>2</v>
      </c>
    </row>
    <row r="188" spans="1:4" x14ac:dyDescent="0.3">
      <c r="A188">
        <v>1999</v>
      </c>
      <c r="B188" t="s">
        <v>5</v>
      </c>
      <c r="C188">
        <v>70</v>
      </c>
      <c r="D188">
        <v>4</v>
      </c>
    </row>
    <row r="189" spans="1:4" x14ac:dyDescent="0.3">
      <c r="A189">
        <v>1999</v>
      </c>
      <c r="B189" t="s">
        <v>5</v>
      </c>
      <c r="C189">
        <v>75</v>
      </c>
      <c r="D189">
        <v>0</v>
      </c>
    </row>
    <row r="190" spans="1:4" x14ac:dyDescent="0.3">
      <c r="A190">
        <v>1999</v>
      </c>
      <c r="B190" t="s">
        <v>5</v>
      </c>
      <c r="C190">
        <v>80</v>
      </c>
      <c r="D190">
        <v>4</v>
      </c>
    </row>
    <row r="191" spans="1:4" x14ac:dyDescent="0.3">
      <c r="A191">
        <v>1999</v>
      </c>
      <c r="B191" t="s">
        <v>5</v>
      </c>
      <c r="C191">
        <v>85</v>
      </c>
      <c r="D191">
        <v>2</v>
      </c>
    </row>
    <row r="192" spans="1:4" x14ac:dyDescent="0.3">
      <c r="A192">
        <v>2000</v>
      </c>
      <c r="B192" t="s">
        <v>5</v>
      </c>
      <c r="C192">
        <v>0</v>
      </c>
      <c r="D192">
        <v>0</v>
      </c>
    </row>
    <row r="193" spans="1:4" x14ac:dyDescent="0.3">
      <c r="A193">
        <v>2000</v>
      </c>
      <c r="B193" t="s">
        <v>5</v>
      </c>
      <c r="C193">
        <v>1</v>
      </c>
      <c r="D193">
        <v>0</v>
      </c>
    </row>
    <row r="194" spans="1:4" x14ac:dyDescent="0.3">
      <c r="A194">
        <v>2000</v>
      </c>
      <c r="B194" t="s">
        <v>5</v>
      </c>
      <c r="C194">
        <v>5</v>
      </c>
      <c r="D194">
        <v>0</v>
      </c>
    </row>
    <row r="195" spans="1:4" x14ac:dyDescent="0.3">
      <c r="A195">
        <v>2000</v>
      </c>
      <c r="B195" t="s">
        <v>5</v>
      </c>
      <c r="C195">
        <v>10</v>
      </c>
      <c r="D195">
        <v>0</v>
      </c>
    </row>
    <row r="196" spans="1:4" x14ac:dyDescent="0.3">
      <c r="A196">
        <v>2000</v>
      </c>
      <c r="B196" t="s">
        <v>5</v>
      </c>
      <c r="C196">
        <v>15</v>
      </c>
      <c r="D196">
        <v>4</v>
      </c>
    </row>
    <row r="197" spans="1:4" x14ac:dyDescent="0.3">
      <c r="A197">
        <v>2000</v>
      </c>
      <c r="B197" t="s">
        <v>5</v>
      </c>
      <c r="C197">
        <v>20</v>
      </c>
      <c r="D197">
        <v>2</v>
      </c>
    </row>
    <row r="198" spans="1:4" x14ac:dyDescent="0.3">
      <c r="A198">
        <v>2000</v>
      </c>
      <c r="B198" t="s">
        <v>5</v>
      </c>
      <c r="C198">
        <v>25</v>
      </c>
      <c r="D198">
        <v>0</v>
      </c>
    </row>
    <row r="199" spans="1:4" x14ac:dyDescent="0.3">
      <c r="A199">
        <v>2000</v>
      </c>
      <c r="B199" t="s">
        <v>5</v>
      </c>
      <c r="C199">
        <v>30</v>
      </c>
      <c r="D199">
        <v>0</v>
      </c>
    </row>
    <row r="200" spans="1:4" x14ac:dyDescent="0.3">
      <c r="A200">
        <v>2000</v>
      </c>
      <c r="B200" t="s">
        <v>5</v>
      </c>
      <c r="C200">
        <v>35</v>
      </c>
      <c r="D200">
        <v>0</v>
      </c>
    </row>
    <row r="201" spans="1:4" x14ac:dyDescent="0.3">
      <c r="A201">
        <v>2000</v>
      </c>
      <c r="B201" t="s">
        <v>5</v>
      </c>
      <c r="C201">
        <v>40</v>
      </c>
      <c r="D201">
        <v>2</v>
      </c>
    </row>
    <row r="202" spans="1:4" x14ac:dyDescent="0.3">
      <c r="A202">
        <v>2000</v>
      </c>
      <c r="B202" t="s">
        <v>5</v>
      </c>
      <c r="C202">
        <v>45</v>
      </c>
      <c r="D202">
        <v>0</v>
      </c>
    </row>
    <row r="203" spans="1:4" x14ac:dyDescent="0.3">
      <c r="A203">
        <v>2000</v>
      </c>
      <c r="B203" t="s">
        <v>5</v>
      </c>
      <c r="C203">
        <v>50</v>
      </c>
      <c r="D203">
        <v>2</v>
      </c>
    </row>
    <row r="204" spans="1:4" x14ac:dyDescent="0.3">
      <c r="A204">
        <v>2000</v>
      </c>
      <c r="B204" t="s">
        <v>5</v>
      </c>
      <c r="C204">
        <v>55</v>
      </c>
      <c r="D204">
        <v>0</v>
      </c>
    </row>
    <row r="205" spans="1:4" x14ac:dyDescent="0.3">
      <c r="A205">
        <v>2000</v>
      </c>
      <c r="B205" t="s">
        <v>5</v>
      </c>
      <c r="C205">
        <v>60</v>
      </c>
      <c r="D205">
        <v>0</v>
      </c>
    </row>
    <row r="206" spans="1:4" x14ac:dyDescent="0.3">
      <c r="A206">
        <v>2000</v>
      </c>
      <c r="B206" t="s">
        <v>5</v>
      </c>
      <c r="C206">
        <v>65</v>
      </c>
      <c r="D206">
        <v>0</v>
      </c>
    </row>
    <row r="207" spans="1:4" x14ac:dyDescent="0.3">
      <c r="A207">
        <v>2000</v>
      </c>
      <c r="B207" t="s">
        <v>5</v>
      </c>
      <c r="C207">
        <v>70</v>
      </c>
      <c r="D207">
        <v>0</v>
      </c>
    </row>
    <row r="208" spans="1:4" x14ac:dyDescent="0.3">
      <c r="A208">
        <v>2000</v>
      </c>
      <c r="B208" t="s">
        <v>5</v>
      </c>
      <c r="C208">
        <v>75</v>
      </c>
      <c r="D208">
        <v>2</v>
      </c>
    </row>
    <row r="209" spans="1:4" x14ac:dyDescent="0.3">
      <c r="A209">
        <v>2000</v>
      </c>
      <c r="B209" t="s">
        <v>5</v>
      </c>
      <c r="C209">
        <v>80</v>
      </c>
      <c r="D209">
        <v>2</v>
      </c>
    </row>
    <row r="210" spans="1:4" x14ac:dyDescent="0.3">
      <c r="A210">
        <v>2000</v>
      </c>
      <c r="B210" t="s">
        <v>5</v>
      </c>
      <c r="C210">
        <v>85</v>
      </c>
      <c r="D210">
        <v>2</v>
      </c>
    </row>
    <row r="211" spans="1:4" x14ac:dyDescent="0.3">
      <c r="A211">
        <v>2001</v>
      </c>
      <c r="B211" t="s">
        <v>5</v>
      </c>
      <c r="C211">
        <v>0</v>
      </c>
      <c r="D211">
        <v>0</v>
      </c>
    </row>
    <row r="212" spans="1:4" x14ac:dyDescent="0.3">
      <c r="A212">
        <v>2001</v>
      </c>
      <c r="B212" t="s">
        <v>5</v>
      </c>
      <c r="C212">
        <v>1</v>
      </c>
      <c r="D212">
        <v>0</v>
      </c>
    </row>
    <row r="213" spans="1:4" x14ac:dyDescent="0.3">
      <c r="A213">
        <v>2001</v>
      </c>
      <c r="B213" t="s">
        <v>5</v>
      </c>
      <c r="C213">
        <v>5</v>
      </c>
      <c r="D213">
        <v>0</v>
      </c>
    </row>
    <row r="214" spans="1:4" x14ac:dyDescent="0.3">
      <c r="A214">
        <v>2001</v>
      </c>
      <c r="B214" t="s">
        <v>5</v>
      </c>
      <c r="C214">
        <v>10</v>
      </c>
      <c r="D214">
        <v>0</v>
      </c>
    </row>
    <row r="215" spans="1:4" x14ac:dyDescent="0.3">
      <c r="A215">
        <v>2001</v>
      </c>
      <c r="B215" t="s">
        <v>5</v>
      </c>
      <c r="C215">
        <v>15</v>
      </c>
      <c r="D215">
        <v>0</v>
      </c>
    </row>
    <row r="216" spans="1:4" x14ac:dyDescent="0.3">
      <c r="A216">
        <v>2001</v>
      </c>
      <c r="B216" t="s">
        <v>5</v>
      </c>
      <c r="C216">
        <v>20</v>
      </c>
      <c r="D216">
        <v>0</v>
      </c>
    </row>
    <row r="217" spans="1:4" x14ac:dyDescent="0.3">
      <c r="A217">
        <v>2001</v>
      </c>
      <c r="B217" t="s">
        <v>5</v>
      </c>
      <c r="C217">
        <v>25</v>
      </c>
      <c r="D217">
        <v>0</v>
      </c>
    </row>
    <row r="218" spans="1:4" x14ac:dyDescent="0.3">
      <c r="A218">
        <v>2001</v>
      </c>
      <c r="B218" t="s">
        <v>5</v>
      </c>
      <c r="C218">
        <v>30</v>
      </c>
      <c r="D218">
        <v>0</v>
      </c>
    </row>
    <row r="219" spans="1:4" x14ac:dyDescent="0.3">
      <c r="A219">
        <v>2001</v>
      </c>
      <c r="B219" t="s">
        <v>5</v>
      </c>
      <c r="C219">
        <v>35</v>
      </c>
      <c r="D219">
        <v>0</v>
      </c>
    </row>
    <row r="220" spans="1:4" x14ac:dyDescent="0.3">
      <c r="A220">
        <v>2001</v>
      </c>
      <c r="B220" t="s">
        <v>5</v>
      </c>
      <c r="C220">
        <v>40</v>
      </c>
      <c r="D220">
        <v>0</v>
      </c>
    </row>
    <row r="221" spans="1:4" x14ac:dyDescent="0.3">
      <c r="A221">
        <v>2001</v>
      </c>
      <c r="B221" t="s">
        <v>5</v>
      </c>
      <c r="C221">
        <v>45</v>
      </c>
      <c r="D221">
        <v>0</v>
      </c>
    </row>
    <row r="222" spans="1:4" x14ac:dyDescent="0.3">
      <c r="A222">
        <v>2001</v>
      </c>
      <c r="B222" t="s">
        <v>5</v>
      </c>
      <c r="C222">
        <v>50</v>
      </c>
      <c r="D222">
        <v>0</v>
      </c>
    </row>
    <row r="223" spans="1:4" x14ac:dyDescent="0.3">
      <c r="A223">
        <v>2001</v>
      </c>
      <c r="B223" t="s">
        <v>5</v>
      </c>
      <c r="C223">
        <v>55</v>
      </c>
      <c r="D223">
        <v>0</v>
      </c>
    </row>
    <row r="224" spans="1:4" x14ac:dyDescent="0.3">
      <c r="A224">
        <v>2001</v>
      </c>
      <c r="B224" t="s">
        <v>5</v>
      </c>
      <c r="C224">
        <v>60</v>
      </c>
      <c r="D224">
        <v>0</v>
      </c>
    </row>
    <row r="225" spans="1:4" x14ac:dyDescent="0.3">
      <c r="A225">
        <v>2001</v>
      </c>
      <c r="B225" t="s">
        <v>5</v>
      </c>
      <c r="C225">
        <v>65</v>
      </c>
      <c r="D225">
        <v>0</v>
      </c>
    </row>
    <row r="226" spans="1:4" x14ac:dyDescent="0.3">
      <c r="A226">
        <v>2001</v>
      </c>
      <c r="B226" t="s">
        <v>5</v>
      </c>
      <c r="C226">
        <v>70</v>
      </c>
      <c r="D226">
        <v>0</v>
      </c>
    </row>
    <row r="227" spans="1:4" x14ac:dyDescent="0.3">
      <c r="A227">
        <v>2001</v>
      </c>
      <c r="B227" t="s">
        <v>5</v>
      </c>
      <c r="C227">
        <v>75</v>
      </c>
      <c r="D227">
        <v>0</v>
      </c>
    </row>
    <row r="228" spans="1:4" x14ac:dyDescent="0.3">
      <c r="A228">
        <v>2001</v>
      </c>
      <c r="B228" t="s">
        <v>5</v>
      </c>
      <c r="C228">
        <v>80</v>
      </c>
      <c r="D228">
        <v>2</v>
      </c>
    </row>
    <row r="229" spans="1:4" x14ac:dyDescent="0.3">
      <c r="A229">
        <v>2001</v>
      </c>
      <c r="B229" t="s">
        <v>5</v>
      </c>
      <c r="C229">
        <v>85</v>
      </c>
      <c r="D229">
        <v>2</v>
      </c>
    </row>
    <row r="230" spans="1:4" x14ac:dyDescent="0.3">
      <c r="A230">
        <v>2002</v>
      </c>
      <c r="B230" t="s">
        <v>5</v>
      </c>
      <c r="C230">
        <v>0</v>
      </c>
      <c r="D230">
        <v>0</v>
      </c>
    </row>
    <row r="231" spans="1:4" x14ac:dyDescent="0.3">
      <c r="A231">
        <v>2002</v>
      </c>
      <c r="B231" t="s">
        <v>5</v>
      </c>
      <c r="C231">
        <v>1</v>
      </c>
      <c r="D231">
        <v>0</v>
      </c>
    </row>
    <row r="232" spans="1:4" x14ac:dyDescent="0.3">
      <c r="A232">
        <v>2002</v>
      </c>
      <c r="B232" t="s">
        <v>5</v>
      </c>
      <c r="C232">
        <v>5</v>
      </c>
      <c r="D232">
        <v>0</v>
      </c>
    </row>
    <row r="233" spans="1:4" x14ac:dyDescent="0.3">
      <c r="A233">
        <v>2002</v>
      </c>
      <c r="B233" t="s">
        <v>5</v>
      </c>
      <c r="C233">
        <v>10</v>
      </c>
      <c r="D233">
        <v>0</v>
      </c>
    </row>
    <row r="234" spans="1:4" x14ac:dyDescent="0.3">
      <c r="A234">
        <v>2002</v>
      </c>
      <c r="B234" t="s">
        <v>5</v>
      </c>
      <c r="C234">
        <v>15</v>
      </c>
      <c r="D234">
        <v>0</v>
      </c>
    </row>
    <row r="235" spans="1:4" x14ac:dyDescent="0.3">
      <c r="A235">
        <v>2002</v>
      </c>
      <c r="B235" t="s">
        <v>5</v>
      </c>
      <c r="C235">
        <v>20</v>
      </c>
      <c r="D235">
        <v>2</v>
      </c>
    </row>
    <row r="236" spans="1:4" x14ac:dyDescent="0.3">
      <c r="A236">
        <v>2002</v>
      </c>
      <c r="B236" t="s">
        <v>5</v>
      </c>
      <c r="C236">
        <v>25</v>
      </c>
      <c r="D236">
        <v>0</v>
      </c>
    </row>
    <row r="237" spans="1:4" x14ac:dyDescent="0.3">
      <c r="A237">
        <v>2002</v>
      </c>
      <c r="B237" t="s">
        <v>5</v>
      </c>
      <c r="C237">
        <v>30</v>
      </c>
      <c r="D237">
        <v>0</v>
      </c>
    </row>
    <row r="238" spans="1:4" x14ac:dyDescent="0.3">
      <c r="A238">
        <v>2002</v>
      </c>
      <c r="B238" t="s">
        <v>5</v>
      </c>
      <c r="C238">
        <v>35</v>
      </c>
      <c r="D238">
        <v>0</v>
      </c>
    </row>
    <row r="239" spans="1:4" x14ac:dyDescent="0.3">
      <c r="A239">
        <v>2002</v>
      </c>
      <c r="B239" t="s">
        <v>5</v>
      </c>
      <c r="C239">
        <v>40</v>
      </c>
      <c r="D239">
        <v>0</v>
      </c>
    </row>
    <row r="240" spans="1:4" x14ac:dyDescent="0.3">
      <c r="A240">
        <v>2002</v>
      </c>
      <c r="B240" t="s">
        <v>5</v>
      </c>
      <c r="C240">
        <v>45</v>
      </c>
      <c r="D240">
        <v>0</v>
      </c>
    </row>
    <row r="241" spans="1:4" x14ac:dyDescent="0.3">
      <c r="A241">
        <v>2002</v>
      </c>
      <c r="B241" t="s">
        <v>5</v>
      </c>
      <c r="C241">
        <v>50</v>
      </c>
      <c r="D241">
        <v>0</v>
      </c>
    </row>
    <row r="242" spans="1:4" x14ac:dyDescent="0.3">
      <c r="A242">
        <v>2002</v>
      </c>
      <c r="B242" t="s">
        <v>5</v>
      </c>
      <c r="C242">
        <v>55</v>
      </c>
      <c r="D242">
        <v>0</v>
      </c>
    </row>
    <row r="243" spans="1:4" x14ac:dyDescent="0.3">
      <c r="A243">
        <v>2002</v>
      </c>
      <c r="B243" t="s">
        <v>5</v>
      </c>
      <c r="C243">
        <v>60</v>
      </c>
      <c r="D243">
        <v>2</v>
      </c>
    </row>
    <row r="244" spans="1:4" x14ac:dyDescent="0.3">
      <c r="A244">
        <v>2002</v>
      </c>
      <c r="B244" t="s">
        <v>5</v>
      </c>
      <c r="C244">
        <v>65</v>
      </c>
      <c r="D244">
        <v>0</v>
      </c>
    </row>
    <row r="245" spans="1:4" x14ac:dyDescent="0.3">
      <c r="A245">
        <v>2002</v>
      </c>
      <c r="B245" t="s">
        <v>5</v>
      </c>
      <c r="C245">
        <v>70</v>
      </c>
      <c r="D245">
        <v>2</v>
      </c>
    </row>
    <row r="246" spans="1:4" x14ac:dyDescent="0.3">
      <c r="A246">
        <v>2002</v>
      </c>
      <c r="B246" t="s">
        <v>5</v>
      </c>
      <c r="C246">
        <v>75</v>
      </c>
      <c r="D246">
        <v>2</v>
      </c>
    </row>
    <row r="247" spans="1:4" x14ac:dyDescent="0.3">
      <c r="A247">
        <v>2002</v>
      </c>
      <c r="B247" t="s">
        <v>5</v>
      </c>
      <c r="C247">
        <v>80</v>
      </c>
      <c r="D247">
        <v>0</v>
      </c>
    </row>
    <row r="248" spans="1:4" x14ac:dyDescent="0.3">
      <c r="A248">
        <v>2002</v>
      </c>
      <c r="B248" t="s">
        <v>5</v>
      </c>
      <c r="C248">
        <v>85</v>
      </c>
      <c r="D248">
        <v>0</v>
      </c>
    </row>
    <row r="249" spans="1:4" x14ac:dyDescent="0.3">
      <c r="A249">
        <v>2003</v>
      </c>
      <c r="B249" t="s">
        <v>5</v>
      </c>
      <c r="C249">
        <v>0</v>
      </c>
      <c r="D249">
        <v>0</v>
      </c>
    </row>
    <row r="250" spans="1:4" x14ac:dyDescent="0.3">
      <c r="A250">
        <v>2003</v>
      </c>
      <c r="B250" t="s">
        <v>5</v>
      </c>
      <c r="C250">
        <v>1</v>
      </c>
      <c r="D250">
        <v>2</v>
      </c>
    </row>
    <row r="251" spans="1:4" x14ac:dyDescent="0.3">
      <c r="A251">
        <v>2003</v>
      </c>
      <c r="B251" t="s">
        <v>5</v>
      </c>
      <c r="C251">
        <v>5</v>
      </c>
      <c r="D251">
        <v>4</v>
      </c>
    </row>
    <row r="252" spans="1:4" x14ac:dyDescent="0.3">
      <c r="A252">
        <v>2003</v>
      </c>
      <c r="B252" t="s">
        <v>5</v>
      </c>
      <c r="C252">
        <v>10</v>
      </c>
      <c r="D252">
        <v>0</v>
      </c>
    </row>
    <row r="253" spans="1:4" x14ac:dyDescent="0.3">
      <c r="A253">
        <v>2003</v>
      </c>
      <c r="B253" t="s">
        <v>5</v>
      </c>
      <c r="C253">
        <v>15</v>
      </c>
      <c r="D253">
        <v>0</v>
      </c>
    </row>
    <row r="254" spans="1:4" x14ac:dyDescent="0.3">
      <c r="A254">
        <v>2003</v>
      </c>
      <c r="B254" t="s">
        <v>5</v>
      </c>
      <c r="C254">
        <v>20</v>
      </c>
      <c r="D254">
        <v>0</v>
      </c>
    </row>
    <row r="255" spans="1:4" x14ac:dyDescent="0.3">
      <c r="A255">
        <v>2003</v>
      </c>
      <c r="B255" t="s">
        <v>5</v>
      </c>
      <c r="C255">
        <v>25</v>
      </c>
      <c r="D255">
        <v>2</v>
      </c>
    </row>
    <row r="256" spans="1:4" x14ac:dyDescent="0.3">
      <c r="A256">
        <v>2003</v>
      </c>
      <c r="B256" t="s">
        <v>5</v>
      </c>
      <c r="C256">
        <v>30</v>
      </c>
      <c r="D256">
        <v>0</v>
      </c>
    </row>
    <row r="257" spans="1:4" x14ac:dyDescent="0.3">
      <c r="A257">
        <v>2003</v>
      </c>
      <c r="B257" t="s">
        <v>5</v>
      </c>
      <c r="C257">
        <v>35</v>
      </c>
      <c r="D257">
        <v>0</v>
      </c>
    </row>
    <row r="258" spans="1:4" x14ac:dyDescent="0.3">
      <c r="A258">
        <v>2003</v>
      </c>
      <c r="B258" t="s">
        <v>5</v>
      </c>
      <c r="C258">
        <v>40</v>
      </c>
      <c r="D258">
        <v>4</v>
      </c>
    </row>
    <row r="259" spans="1:4" x14ac:dyDescent="0.3">
      <c r="A259">
        <v>2003</v>
      </c>
      <c r="B259" t="s">
        <v>5</v>
      </c>
      <c r="C259">
        <v>45</v>
      </c>
      <c r="D259">
        <v>0</v>
      </c>
    </row>
    <row r="260" spans="1:4" x14ac:dyDescent="0.3">
      <c r="A260">
        <v>2003</v>
      </c>
      <c r="B260" t="s">
        <v>5</v>
      </c>
      <c r="C260">
        <v>50</v>
      </c>
      <c r="D260">
        <v>0</v>
      </c>
    </row>
    <row r="261" spans="1:4" x14ac:dyDescent="0.3">
      <c r="A261">
        <v>2003</v>
      </c>
      <c r="B261" t="s">
        <v>5</v>
      </c>
      <c r="C261">
        <v>55</v>
      </c>
      <c r="D261">
        <v>2</v>
      </c>
    </row>
    <row r="262" spans="1:4" x14ac:dyDescent="0.3">
      <c r="A262">
        <v>2003</v>
      </c>
      <c r="B262" t="s">
        <v>5</v>
      </c>
      <c r="C262">
        <v>60</v>
      </c>
      <c r="D262">
        <v>0</v>
      </c>
    </row>
    <row r="263" spans="1:4" x14ac:dyDescent="0.3">
      <c r="A263">
        <v>2003</v>
      </c>
      <c r="B263" t="s">
        <v>5</v>
      </c>
      <c r="C263">
        <v>65</v>
      </c>
      <c r="D263">
        <v>0</v>
      </c>
    </row>
    <row r="264" spans="1:4" x14ac:dyDescent="0.3">
      <c r="A264">
        <v>2003</v>
      </c>
      <c r="B264" t="s">
        <v>5</v>
      </c>
      <c r="C264">
        <v>70</v>
      </c>
      <c r="D264">
        <v>2</v>
      </c>
    </row>
    <row r="265" spans="1:4" x14ac:dyDescent="0.3">
      <c r="A265">
        <v>2003</v>
      </c>
      <c r="B265" t="s">
        <v>5</v>
      </c>
      <c r="C265">
        <v>75</v>
      </c>
      <c r="D265">
        <v>2</v>
      </c>
    </row>
    <row r="266" spans="1:4" x14ac:dyDescent="0.3">
      <c r="A266">
        <v>2003</v>
      </c>
      <c r="B266" t="s">
        <v>5</v>
      </c>
      <c r="C266">
        <v>80</v>
      </c>
      <c r="D266">
        <v>2</v>
      </c>
    </row>
    <row r="267" spans="1:4" x14ac:dyDescent="0.3">
      <c r="A267">
        <v>2003</v>
      </c>
      <c r="B267" t="s">
        <v>5</v>
      </c>
      <c r="C267">
        <v>85</v>
      </c>
      <c r="D267">
        <v>2</v>
      </c>
    </row>
    <row r="268" spans="1:4" x14ac:dyDescent="0.3">
      <c r="A268">
        <v>2004</v>
      </c>
      <c r="B268" t="s">
        <v>5</v>
      </c>
      <c r="C268">
        <v>0</v>
      </c>
      <c r="D268">
        <v>0</v>
      </c>
    </row>
    <row r="269" spans="1:4" x14ac:dyDescent="0.3">
      <c r="A269">
        <v>2004</v>
      </c>
      <c r="B269" t="s">
        <v>5</v>
      </c>
      <c r="C269">
        <v>1</v>
      </c>
      <c r="D269">
        <v>0</v>
      </c>
    </row>
    <row r="270" spans="1:4" x14ac:dyDescent="0.3">
      <c r="A270">
        <v>2004</v>
      </c>
      <c r="B270" t="s">
        <v>5</v>
      </c>
      <c r="C270">
        <v>5</v>
      </c>
      <c r="D270">
        <v>0</v>
      </c>
    </row>
    <row r="271" spans="1:4" x14ac:dyDescent="0.3">
      <c r="A271">
        <v>2004</v>
      </c>
      <c r="B271" t="s">
        <v>5</v>
      </c>
      <c r="C271">
        <v>10</v>
      </c>
      <c r="D271">
        <v>0</v>
      </c>
    </row>
    <row r="272" spans="1:4" x14ac:dyDescent="0.3">
      <c r="A272">
        <v>2004</v>
      </c>
      <c r="B272" t="s">
        <v>5</v>
      </c>
      <c r="C272">
        <v>15</v>
      </c>
      <c r="D272">
        <v>2</v>
      </c>
    </row>
    <row r="273" spans="1:4" x14ac:dyDescent="0.3">
      <c r="A273">
        <v>2004</v>
      </c>
      <c r="B273" t="s">
        <v>5</v>
      </c>
      <c r="C273">
        <v>20</v>
      </c>
      <c r="D273">
        <v>0</v>
      </c>
    </row>
    <row r="274" spans="1:4" x14ac:dyDescent="0.3">
      <c r="A274">
        <v>2004</v>
      </c>
      <c r="B274" t="s">
        <v>5</v>
      </c>
      <c r="C274">
        <v>25</v>
      </c>
      <c r="D274">
        <v>2</v>
      </c>
    </row>
    <row r="275" spans="1:4" x14ac:dyDescent="0.3">
      <c r="A275">
        <v>2004</v>
      </c>
      <c r="B275" t="s">
        <v>5</v>
      </c>
      <c r="C275">
        <v>30</v>
      </c>
      <c r="D275">
        <v>2</v>
      </c>
    </row>
    <row r="276" spans="1:4" x14ac:dyDescent="0.3">
      <c r="A276">
        <v>2004</v>
      </c>
      <c r="B276" t="s">
        <v>5</v>
      </c>
      <c r="C276">
        <v>35</v>
      </c>
      <c r="D276">
        <v>0</v>
      </c>
    </row>
    <row r="277" spans="1:4" x14ac:dyDescent="0.3">
      <c r="A277">
        <v>2004</v>
      </c>
      <c r="B277" t="s">
        <v>5</v>
      </c>
      <c r="C277">
        <v>40</v>
      </c>
      <c r="D277">
        <v>2</v>
      </c>
    </row>
    <row r="278" spans="1:4" x14ac:dyDescent="0.3">
      <c r="A278">
        <v>2004</v>
      </c>
      <c r="B278" t="s">
        <v>5</v>
      </c>
      <c r="C278">
        <v>45</v>
      </c>
      <c r="D278">
        <v>0</v>
      </c>
    </row>
    <row r="279" spans="1:4" x14ac:dyDescent="0.3">
      <c r="A279">
        <v>2004</v>
      </c>
      <c r="B279" t="s">
        <v>5</v>
      </c>
      <c r="C279">
        <v>50</v>
      </c>
      <c r="D279">
        <v>0</v>
      </c>
    </row>
    <row r="280" spans="1:4" x14ac:dyDescent="0.3">
      <c r="A280">
        <v>2004</v>
      </c>
      <c r="B280" t="s">
        <v>5</v>
      </c>
      <c r="C280">
        <v>55</v>
      </c>
      <c r="D280">
        <v>0</v>
      </c>
    </row>
    <row r="281" spans="1:4" x14ac:dyDescent="0.3">
      <c r="A281">
        <v>2004</v>
      </c>
      <c r="B281" t="s">
        <v>5</v>
      </c>
      <c r="C281">
        <v>60</v>
      </c>
      <c r="D281">
        <v>0</v>
      </c>
    </row>
    <row r="282" spans="1:4" x14ac:dyDescent="0.3">
      <c r="A282">
        <v>2004</v>
      </c>
      <c r="B282" t="s">
        <v>5</v>
      </c>
      <c r="C282">
        <v>65</v>
      </c>
      <c r="D282">
        <v>0</v>
      </c>
    </row>
    <row r="283" spans="1:4" x14ac:dyDescent="0.3">
      <c r="A283">
        <v>2004</v>
      </c>
      <c r="B283" t="s">
        <v>5</v>
      </c>
      <c r="C283">
        <v>70</v>
      </c>
      <c r="D283">
        <v>0</v>
      </c>
    </row>
    <row r="284" spans="1:4" x14ac:dyDescent="0.3">
      <c r="A284">
        <v>2004</v>
      </c>
      <c r="B284" t="s">
        <v>5</v>
      </c>
      <c r="C284">
        <v>75</v>
      </c>
      <c r="D284">
        <v>2</v>
      </c>
    </row>
    <row r="285" spans="1:4" x14ac:dyDescent="0.3">
      <c r="A285">
        <v>2004</v>
      </c>
      <c r="B285" t="s">
        <v>5</v>
      </c>
      <c r="C285">
        <v>80</v>
      </c>
      <c r="D285">
        <v>0</v>
      </c>
    </row>
    <row r="286" spans="1:4" x14ac:dyDescent="0.3">
      <c r="A286">
        <v>2004</v>
      </c>
      <c r="B286" t="s">
        <v>5</v>
      </c>
      <c r="C286">
        <v>85</v>
      </c>
      <c r="D286">
        <v>0</v>
      </c>
    </row>
    <row r="287" spans="1:4" x14ac:dyDescent="0.3">
      <c r="A287">
        <v>2005</v>
      </c>
      <c r="B287" t="s">
        <v>5</v>
      </c>
      <c r="C287">
        <v>0</v>
      </c>
      <c r="D287">
        <v>0</v>
      </c>
    </row>
    <row r="288" spans="1:4" x14ac:dyDescent="0.3">
      <c r="A288">
        <v>2005</v>
      </c>
      <c r="B288" t="s">
        <v>5</v>
      </c>
      <c r="C288">
        <v>1</v>
      </c>
      <c r="D288">
        <v>0</v>
      </c>
    </row>
    <row r="289" spans="1:4" x14ac:dyDescent="0.3">
      <c r="A289">
        <v>2005</v>
      </c>
      <c r="B289" t="s">
        <v>5</v>
      </c>
      <c r="C289">
        <v>5</v>
      </c>
      <c r="D289">
        <v>0</v>
      </c>
    </row>
    <row r="290" spans="1:4" x14ac:dyDescent="0.3">
      <c r="A290">
        <v>2005</v>
      </c>
      <c r="B290" t="s">
        <v>5</v>
      </c>
      <c r="C290">
        <v>10</v>
      </c>
      <c r="D290">
        <v>0</v>
      </c>
    </row>
    <row r="291" spans="1:4" x14ac:dyDescent="0.3">
      <c r="A291">
        <v>2005</v>
      </c>
      <c r="B291" t="s">
        <v>5</v>
      </c>
      <c r="C291">
        <v>15</v>
      </c>
      <c r="D291">
        <v>0</v>
      </c>
    </row>
    <row r="292" spans="1:4" x14ac:dyDescent="0.3">
      <c r="A292">
        <v>2005</v>
      </c>
      <c r="B292" t="s">
        <v>5</v>
      </c>
      <c r="C292">
        <v>20</v>
      </c>
      <c r="D292">
        <v>4</v>
      </c>
    </row>
    <row r="293" spans="1:4" x14ac:dyDescent="0.3">
      <c r="A293">
        <v>2005</v>
      </c>
      <c r="B293" t="s">
        <v>5</v>
      </c>
      <c r="C293">
        <v>25</v>
      </c>
      <c r="D293">
        <v>2</v>
      </c>
    </row>
    <row r="294" spans="1:4" x14ac:dyDescent="0.3">
      <c r="A294">
        <v>2005</v>
      </c>
      <c r="B294" t="s">
        <v>5</v>
      </c>
      <c r="C294">
        <v>30</v>
      </c>
      <c r="D294">
        <v>0</v>
      </c>
    </row>
    <row r="295" spans="1:4" x14ac:dyDescent="0.3">
      <c r="A295">
        <v>2005</v>
      </c>
      <c r="B295" t="s">
        <v>5</v>
      </c>
      <c r="C295">
        <v>35</v>
      </c>
      <c r="D295">
        <v>0</v>
      </c>
    </row>
    <row r="296" spans="1:4" x14ac:dyDescent="0.3">
      <c r="A296">
        <v>2005</v>
      </c>
      <c r="B296" t="s">
        <v>5</v>
      </c>
      <c r="C296">
        <v>40</v>
      </c>
      <c r="D296">
        <v>0</v>
      </c>
    </row>
    <row r="297" spans="1:4" x14ac:dyDescent="0.3">
      <c r="A297">
        <v>2005</v>
      </c>
      <c r="B297" t="s">
        <v>5</v>
      </c>
      <c r="C297">
        <v>45</v>
      </c>
      <c r="D297">
        <v>0</v>
      </c>
    </row>
    <row r="298" spans="1:4" x14ac:dyDescent="0.3">
      <c r="A298">
        <v>2005</v>
      </c>
      <c r="B298" t="s">
        <v>5</v>
      </c>
      <c r="C298">
        <v>50</v>
      </c>
      <c r="D298">
        <v>2</v>
      </c>
    </row>
    <row r="299" spans="1:4" x14ac:dyDescent="0.3">
      <c r="A299">
        <v>2005</v>
      </c>
      <c r="B299" t="s">
        <v>5</v>
      </c>
      <c r="C299">
        <v>55</v>
      </c>
      <c r="D299">
        <v>0</v>
      </c>
    </row>
    <row r="300" spans="1:4" x14ac:dyDescent="0.3">
      <c r="A300">
        <v>2005</v>
      </c>
      <c r="B300" t="s">
        <v>5</v>
      </c>
      <c r="C300">
        <v>60</v>
      </c>
      <c r="D300">
        <v>0</v>
      </c>
    </row>
    <row r="301" spans="1:4" x14ac:dyDescent="0.3">
      <c r="A301">
        <v>2005</v>
      </c>
      <c r="B301" t="s">
        <v>5</v>
      </c>
      <c r="C301">
        <v>65</v>
      </c>
      <c r="D301">
        <v>0</v>
      </c>
    </row>
    <row r="302" spans="1:4" x14ac:dyDescent="0.3">
      <c r="A302">
        <v>2005</v>
      </c>
      <c r="B302" t="s">
        <v>5</v>
      </c>
      <c r="C302">
        <v>70</v>
      </c>
      <c r="D302">
        <v>0</v>
      </c>
    </row>
    <row r="303" spans="1:4" x14ac:dyDescent="0.3">
      <c r="A303">
        <v>2005</v>
      </c>
      <c r="B303" t="s">
        <v>5</v>
      </c>
      <c r="C303">
        <v>75</v>
      </c>
      <c r="D303">
        <v>0</v>
      </c>
    </row>
    <row r="304" spans="1:4" x14ac:dyDescent="0.3">
      <c r="A304">
        <v>2005</v>
      </c>
      <c r="B304" t="s">
        <v>5</v>
      </c>
      <c r="C304">
        <v>80</v>
      </c>
      <c r="D304">
        <v>0</v>
      </c>
    </row>
    <row r="305" spans="1:4" x14ac:dyDescent="0.3">
      <c r="A305">
        <v>2005</v>
      </c>
      <c r="B305" t="s">
        <v>5</v>
      </c>
      <c r="C305">
        <v>85</v>
      </c>
      <c r="D305">
        <v>0</v>
      </c>
    </row>
    <row r="306" spans="1:4" x14ac:dyDescent="0.3">
      <c r="A306">
        <v>2006</v>
      </c>
      <c r="B306" t="s">
        <v>5</v>
      </c>
      <c r="C306">
        <v>0</v>
      </c>
      <c r="D306">
        <v>0</v>
      </c>
    </row>
    <row r="307" spans="1:4" x14ac:dyDescent="0.3">
      <c r="A307">
        <v>2006</v>
      </c>
      <c r="B307" t="s">
        <v>5</v>
      </c>
      <c r="C307">
        <v>1</v>
      </c>
      <c r="D307">
        <v>0</v>
      </c>
    </row>
    <row r="308" spans="1:4" x14ac:dyDescent="0.3">
      <c r="A308">
        <v>2006</v>
      </c>
      <c r="B308" t="s">
        <v>5</v>
      </c>
      <c r="C308">
        <v>5</v>
      </c>
      <c r="D308">
        <v>0</v>
      </c>
    </row>
    <row r="309" spans="1:4" x14ac:dyDescent="0.3">
      <c r="A309">
        <v>2006</v>
      </c>
      <c r="B309" t="s">
        <v>5</v>
      </c>
      <c r="C309">
        <v>10</v>
      </c>
      <c r="D309">
        <v>0</v>
      </c>
    </row>
    <row r="310" spans="1:4" x14ac:dyDescent="0.3">
      <c r="A310">
        <v>2006</v>
      </c>
      <c r="B310" t="s">
        <v>5</v>
      </c>
      <c r="C310">
        <v>15</v>
      </c>
      <c r="D310">
        <v>0</v>
      </c>
    </row>
    <row r="311" spans="1:4" x14ac:dyDescent="0.3">
      <c r="A311">
        <v>2006</v>
      </c>
      <c r="B311" t="s">
        <v>5</v>
      </c>
      <c r="C311">
        <v>20</v>
      </c>
      <c r="D311">
        <v>2</v>
      </c>
    </row>
    <row r="312" spans="1:4" x14ac:dyDescent="0.3">
      <c r="A312">
        <v>2006</v>
      </c>
      <c r="B312" t="s">
        <v>5</v>
      </c>
      <c r="C312">
        <v>25</v>
      </c>
      <c r="D312">
        <v>0</v>
      </c>
    </row>
    <row r="313" spans="1:4" x14ac:dyDescent="0.3">
      <c r="A313">
        <v>2006</v>
      </c>
      <c r="B313" t="s">
        <v>5</v>
      </c>
      <c r="C313">
        <v>30</v>
      </c>
      <c r="D313">
        <v>0</v>
      </c>
    </row>
    <row r="314" spans="1:4" x14ac:dyDescent="0.3">
      <c r="A314">
        <v>2006</v>
      </c>
      <c r="B314" t="s">
        <v>5</v>
      </c>
      <c r="C314">
        <v>35</v>
      </c>
      <c r="D314">
        <v>0</v>
      </c>
    </row>
    <row r="315" spans="1:4" x14ac:dyDescent="0.3">
      <c r="A315">
        <v>2006</v>
      </c>
      <c r="B315" t="s">
        <v>5</v>
      </c>
      <c r="C315">
        <v>40</v>
      </c>
      <c r="D315">
        <v>2</v>
      </c>
    </row>
    <row r="316" spans="1:4" x14ac:dyDescent="0.3">
      <c r="A316">
        <v>2006</v>
      </c>
      <c r="B316" t="s">
        <v>5</v>
      </c>
      <c r="C316">
        <v>45</v>
      </c>
      <c r="D316">
        <v>0</v>
      </c>
    </row>
    <row r="317" spans="1:4" x14ac:dyDescent="0.3">
      <c r="A317">
        <v>2006</v>
      </c>
      <c r="B317" t="s">
        <v>5</v>
      </c>
      <c r="C317">
        <v>50</v>
      </c>
      <c r="D317">
        <v>0</v>
      </c>
    </row>
    <row r="318" spans="1:4" x14ac:dyDescent="0.3">
      <c r="A318">
        <v>2006</v>
      </c>
      <c r="B318" t="s">
        <v>5</v>
      </c>
      <c r="C318">
        <v>55</v>
      </c>
      <c r="D318">
        <v>0</v>
      </c>
    </row>
    <row r="319" spans="1:4" x14ac:dyDescent="0.3">
      <c r="A319">
        <v>2006</v>
      </c>
      <c r="B319" t="s">
        <v>5</v>
      </c>
      <c r="C319">
        <v>60</v>
      </c>
      <c r="D319">
        <v>2</v>
      </c>
    </row>
    <row r="320" spans="1:4" x14ac:dyDescent="0.3">
      <c r="A320">
        <v>2006</v>
      </c>
      <c r="B320" t="s">
        <v>5</v>
      </c>
      <c r="C320">
        <v>65</v>
      </c>
      <c r="D320">
        <v>0</v>
      </c>
    </row>
    <row r="321" spans="1:4" x14ac:dyDescent="0.3">
      <c r="A321">
        <v>2006</v>
      </c>
      <c r="B321" t="s">
        <v>5</v>
      </c>
      <c r="C321">
        <v>70</v>
      </c>
      <c r="D321">
        <v>0</v>
      </c>
    </row>
    <row r="322" spans="1:4" x14ac:dyDescent="0.3">
      <c r="A322">
        <v>2006</v>
      </c>
      <c r="B322" t="s">
        <v>5</v>
      </c>
      <c r="C322">
        <v>75</v>
      </c>
      <c r="D322">
        <v>4</v>
      </c>
    </row>
    <row r="323" spans="1:4" x14ac:dyDescent="0.3">
      <c r="A323">
        <v>2006</v>
      </c>
      <c r="B323" t="s">
        <v>5</v>
      </c>
      <c r="C323">
        <v>80</v>
      </c>
      <c r="D323">
        <v>4</v>
      </c>
    </row>
    <row r="324" spans="1:4" x14ac:dyDescent="0.3">
      <c r="A324">
        <v>2006</v>
      </c>
      <c r="B324" t="s">
        <v>5</v>
      </c>
      <c r="C324">
        <v>85</v>
      </c>
      <c r="D324">
        <v>2</v>
      </c>
    </row>
    <row r="325" spans="1:4" x14ac:dyDescent="0.3">
      <c r="A325">
        <v>2007</v>
      </c>
      <c r="B325" t="s">
        <v>5</v>
      </c>
      <c r="C325">
        <v>0</v>
      </c>
      <c r="D325">
        <v>0</v>
      </c>
    </row>
    <row r="326" spans="1:4" x14ac:dyDescent="0.3">
      <c r="A326">
        <v>2007</v>
      </c>
      <c r="B326" t="s">
        <v>5</v>
      </c>
      <c r="C326">
        <v>1</v>
      </c>
      <c r="D326">
        <v>0</v>
      </c>
    </row>
    <row r="327" spans="1:4" x14ac:dyDescent="0.3">
      <c r="A327">
        <v>2007</v>
      </c>
      <c r="B327" t="s">
        <v>5</v>
      </c>
      <c r="C327">
        <v>5</v>
      </c>
      <c r="D327">
        <v>0</v>
      </c>
    </row>
    <row r="328" spans="1:4" x14ac:dyDescent="0.3">
      <c r="A328">
        <v>2007</v>
      </c>
      <c r="B328" t="s">
        <v>5</v>
      </c>
      <c r="C328">
        <v>10</v>
      </c>
      <c r="D328">
        <v>0</v>
      </c>
    </row>
    <row r="329" spans="1:4" x14ac:dyDescent="0.3">
      <c r="A329">
        <v>2007</v>
      </c>
      <c r="B329" t="s">
        <v>5</v>
      </c>
      <c r="C329">
        <v>15</v>
      </c>
      <c r="D329">
        <v>2</v>
      </c>
    </row>
    <row r="330" spans="1:4" x14ac:dyDescent="0.3">
      <c r="A330">
        <v>2007</v>
      </c>
      <c r="B330" t="s">
        <v>5</v>
      </c>
      <c r="C330">
        <v>20</v>
      </c>
      <c r="D330">
        <v>4</v>
      </c>
    </row>
    <row r="331" spans="1:4" x14ac:dyDescent="0.3">
      <c r="A331">
        <v>2007</v>
      </c>
      <c r="B331" t="s">
        <v>5</v>
      </c>
      <c r="C331">
        <v>25</v>
      </c>
      <c r="D331">
        <v>2</v>
      </c>
    </row>
    <row r="332" spans="1:4" x14ac:dyDescent="0.3">
      <c r="A332">
        <v>2007</v>
      </c>
      <c r="B332" t="s">
        <v>5</v>
      </c>
      <c r="C332">
        <v>30</v>
      </c>
      <c r="D332">
        <v>2</v>
      </c>
    </row>
    <row r="333" spans="1:4" x14ac:dyDescent="0.3">
      <c r="A333">
        <v>2007</v>
      </c>
      <c r="B333" t="s">
        <v>5</v>
      </c>
      <c r="C333">
        <v>35</v>
      </c>
      <c r="D333">
        <v>8</v>
      </c>
    </row>
    <row r="334" spans="1:4" x14ac:dyDescent="0.3">
      <c r="A334">
        <v>2007</v>
      </c>
      <c r="B334" t="s">
        <v>5</v>
      </c>
      <c r="C334">
        <v>40</v>
      </c>
      <c r="D334">
        <v>0</v>
      </c>
    </row>
    <row r="335" spans="1:4" x14ac:dyDescent="0.3">
      <c r="A335">
        <v>2007</v>
      </c>
      <c r="B335" t="s">
        <v>5</v>
      </c>
      <c r="C335">
        <v>45</v>
      </c>
      <c r="D335">
        <v>2</v>
      </c>
    </row>
    <row r="336" spans="1:4" x14ac:dyDescent="0.3">
      <c r="A336">
        <v>2007</v>
      </c>
      <c r="B336" t="s">
        <v>5</v>
      </c>
      <c r="C336">
        <v>50</v>
      </c>
      <c r="D336">
        <v>0</v>
      </c>
    </row>
    <row r="337" spans="1:4" x14ac:dyDescent="0.3">
      <c r="A337">
        <v>2007</v>
      </c>
      <c r="B337" t="s">
        <v>5</v>
      </c>
      <c r="C337">
        <v>55</v>
      </c>
      <c r="D337">
        <v>0</v>
      </c>
    </row>
    <row r="338" spans="1:4" x14ac:dyDescent="0.3">
      <c r="A338">
        <v>2007</v>
      </c>
      <c r="B338" t="s">
        <v>5</v>
      </c>
      <c r="C338">
        <v>60</v>
      </c>
      <c r="D338">
        <v>0</v>
      </c>
    </row>
    <row r="339" spans="1:4" x14ac:dyDescent="0.3">
      <c r="A339">
        <v>2007</v>
      </c>
      <c r="B339" t="s">
        <v>5</v>
      </c>
      <c r="C339">
        <v>65</v>
      </c>
      <c r="D339">
        <v>0</v>
      </c>
    </row>
    <row r="340" spans="1:4" x14ac:dyDescent="0.3">
      <c r="A340">
        <v>2007</v>
      </c>
      <c r="B340" t="s">
        <v>5</v>
      </c>
      <c r="C340">
        <v>70</v>
      </c>
      <c r="D340">
        <v>2</v>
      </c>
    </row>
    <row r="341" spans="1:4" x14ac:dyDescent="0.3">
      <c r="A341">
        <v>2007</v>
      </c>
      <c r="B341" t="s">
        <v>5</v>
      </c>
      <c r="C341">
        <v>75</v>
      </c>
      <c r="D341">
        <v>0</v>
      </c>
    </row>
    <row r="342" spans="1:4" x14ac:dyDescent="0.3">
      <c r="A342">
        <v>2007</v>
      </c>
      <c r="B342" t="s">
        <v>5</v>
      </c>
      <c r="C342">
        <v>80</v>
      </c>
      <c r="D342">
        <v>2</v>
      </c>
    </row>
    <row r="343" spans="1:4" x14ac:dyDescent="0.3">
      <c r="A343">
        <v>2007</v>
      </c>
      <c r="B343" t="s">
        <v>5</v>
      </c>
      <c r="C343">
        <v>85</v>
      </c>
      <c r="D343">
        <v>0</v>
      </c>
    </row>
    <row r="344" spans="1:4" x14ac:dyDescent="0.3">
      <c r="A344">
        <v>2008</v>
      </c>
      <c r="B344" t="s">
        <v>5</v>
      </c>
      <c r="C344">
        <v>0</v>
      </c>
      <c r="D344">
        <v>0</v>
      </c>
    </row>
    <row r="345" spans="1:4" x14ac:dyDescent="0.3">
      <c r="A345">
        <v>2008</v>
      </c>
      <c r="B345" t="s">
        <v>5</v>
      </c>
      <c r="C345">
        <v>1</v>
      </c>
      <c r="D345">
        <v>0</v>
      </c>
    </row>
    <row r="346" spans="1:4" x14ac:dyDescent="0.3">
      <c r="A346">
        <v>2008</v>
      </c>
      <c r="B346" t="s">
        <v>5</v>
      </c>
      <c r="C346">
        <v>5</v>
      </c>
      <c r="D346">
        <v>0</v>
      </c>
    </row>
    <row r="347" spans="1:4" x14ac:dyDescent="0.3">
      <c r="A347">
        <v>2008</v>
      </c>
      <c r="B347" t="s">
        <v>5</v>
      </c>
      <c r="C347">
        <v>10</v>
      </c>
      <c r="D347">
        <v>0</v>
      </c>
    </row>
    <row r="348" spans="1:4" x14ac:dyDescent="0.3">
      <c r="A348">
        <v>2008</v>
      </c>
      <c r="B348" t="s">
        <v>5</v>
      </c>
      <c r="C348">
        <v>15</v>
      </c>
      <c r="D348">
        <v>2</v>
      </c>
    </row>
    <row r="349" spans="1:4" x14ac:dyDescent="0.3">
      <c r="A349">
        <v>2008</v>
      </c>
      <c r="B349" t="s">
        <v>5</v>
      </c>
      <c r="C349">
        <v>20</v>
      </c>
      <c r="D349">
        <v>2</v>
      </c>
    </row>
    <row r="350" spans="1:4" x14ac:dyDescent="0.3">
      <c r="A350">
        <v>2008</v>
      </c>
      <c r="B350" t="s">
        <v>5</v>
      </c>
      <c r="C350">
        <v>25</v>
      </c>
      <c r="D350">
        <v>2</v>
      </c>
    </row>
    <row r="351" spans="1:4" x14ac:dyDescent="0.3">
      <c r="A351">
        <v>2008</v>
      </c>
      <c r="B351" t="s">
        <v>5</v>
      </c>
      <c r="C351">
        <v>30</v>
      </c>
      <c r="D351">
        <v>4</v>
      </c>
    </row>
    <row r="352" spans="1:4" x14ac:dyDescent="0.3">
      <c r="A352">
        <v>2008</v>
      </c>
      <c r="B352" t="s">
        <v>5</v>
      </c>
      <c r="C352">
        <v>35</v>
      </c>
      <c r="D352">
        <v>2</v>
      </c>
    </row>
    <row r="353" spans="1:4" x14ac:dyDescent="0.3">
      <c r="A353">
        <v>2008</v>
      </c>
      <c r="B353" t="s">
        <v>5</v>
      </c>
      <c r="C353">
        <v>40</v>
      </c>
      <c r="D353">
        <v>0</v>
      </c>
    </row>
    <row r="354" spans="1:4" x14ac:dyDescent="0.3">
      <c r="A354">
        <v>2008</v>
      </c>
      <c r="B354" t="s">
        <v>5</v>
      </c>
      <c r="C354">
        <v>45</v>
      </c>
      <c r="D354">
        <v>0</v>
      </c>
    </row>
    <row r="355" spans="1:4" x14ac:dyDescent="0.3">
      <c r="A355">
        <v>2008</v>
      </c>
      <c r="B355" t="s">
        <v>5</v>
      </c>
      <c r="C355">
        <v>50</v>
      </c>
      <c r="D355">
        <v>0</v>
      </c>
    </row>
    <row r="356" spans="1:4" x14ac:dyDescent="0.3">
      <c r="A356">
        <v>2008</v>
      </c>
      <c r="B356" t="s">
        <v>5</v>
      </c>
      <c r="C356">
        <v>55</v>
      </c>
      <c r="D356">
        <v>0</v>
      </c>
    </row>
    <row r="357" spans="1:4" x14ac:dyDescent="0.3">
      <c r="A357">
        <v>2008</v>
      </c>
      <c r="B357" t="s">
        <v>5</v>
      </c>
      <c r="C357">
        <v>60</v>
      </c>
      <c r="D357">
        <v>0</v>
      </c>
    </row>
    <row r="358" spans="1:4" x14ac:dyDescent="0.3">
      <c r="A358">
        <v>2008</v>
      </c>
      <c r="B358" t="s">
        <v>5</v>
      </c>
      <c r="C358">
        <v>65</v>
      </c>
      <c r="D358">
        <v>0</v>
      </c>
    </row>
    <row r="359" spans="1:4" x14ac:dyDescent="0.3">
      <c r="A359">
        <v>2008</v>
      </c>
      <c r="B359" t="s">
        <v>5</v>
      </c>
      <c r="C359">
        <v>70</v>
      </c>
      <c r="D359">
        <v>0</v>
      </c>
    </row>
    <row r="360" spans="1:4" x14ac:dyDescent="0.3">
      <c r="A360">
        <v>2008</v>
      </c>
      <c r="B360" t="s">
        <v>5</v>
      </c>
      <c r="C360">
        <v>75</v>
      </c>
      <c r="D360">
        <v>0</v>
      </c>
    </row>
    <row r="361" spans="1:4" x14ac:dyDescent="0.3">
      <c r="A361">
        <v>2008</v>
      </c>
      <c r="B361" t="s">
        <v>5</v>
      </c>
      <c r="C361">
        <v>80</v>
      </c>
      <c r="D361">
        <v>0</v>
      </c>
    </row>
    <row r="362" spans="1:4" x14ac:dyDescent="0.3">
      <c r="A362">
        <v>2008</v>
      </c>
      <c r="B362" t="s">
        <v>5</v>
      </c>
      <c r="C362">
        <v>85</v>
      </c>
      <c r="D362">
        <v>2</v>
      </c>
    </row>
    <row r="363" spans="1:4" x14ac:dyDescent="0.3">
      <c r="A363">
        <v>2009</v>
      </c>
      <c r="B363" t="s">
        <v>5</v>
      </c>
      <c r="C363">
        <v>0</v>
      </c>
      <c r="D363">
        <v>0</v>
      </c>
    </row>
    <row r="364" spans="1:4" x14ac:dyDescent="0.3">
      <c r="A364">
        <v>2009</v>
      </c>
      <c r="B364" t="s">
        <v>5</v>
      </c>
      <c r="C364">
        <v>1</v>
      </c>
      <c r="D364">
        <v>0</v>
      </c>
    </row>
    <row r="365" spans="1:4" x14ac:dyDescent="0.3">
      <c r="A365">
        <v>2009</v>
      </c>
      <c r="B365" t="s">
        <v>5</v>
      </c>
      <c r="C365">
        <v>5</v>
      </c>
      <c r="D365">
        <v>0</v>
      </c>
    </row>
    <row r="366" spans="1:4" x14ac:dyDescent="0.3">
      <c r="A366">
        <v>2009</v>
      </c>
      <c r="B366" t="s">
        <v>5</v>
      </c>
      <c r="C366">
        <v>10</v>
      </c>
      <c r="D366">
        <v>0</v>
      </c>
    </row>
    <row r="367" spans="1:4" x14ac:dyDescent="0.3">
      <c r="A367">
        <v>2009</v>
      </c>
      <c r="B367" t="s">
        <v>5</v>
      </c>
      <c r="C367">
        <v>15</v>
      </c>
      <c r="D367">
        <v>0</v>
      </c>
    </row>
    <row r="368" spans="1:4" x14ac:dyDescent="0.3">
      <c r="A368">
        <v>2009</v>
      </c>
      <c r="B368" t="s">
        <v>5</v>
      </c>
      <c r="C368">
        <v>20</v>
      </c>
      <c r="D368">
        <v>2</v>
      </c>
    </row>
    <row r="369" spans="1:4" x14ac:dyDescent="0.3">
      <c r="A369">
        <v>2009</v>
      </c>
      <c r="B369" t="s">
        <v>5</v>
      </c>
      <c r="C369">
        <v>25</v>
      </c>
      <c r="D369">
        <v>0</v>
      </c>
    </row>
    <row r="370" spans="1:4" x14ac:dyDescent="0.3">
      <c r="A370">
        <v>2009</v>
      </c>
      <c r="B370" t="s">
        <v>5</v>
      </c>
      <c r="C370">
        <v>30</v>
      </c>
      <c r="D370">
        <v>0</v>
      </c>
    </row>
    <row r="371" spans="1:4" x14ac:dyDescent="0.3">
      <c r="A371">
        <v>2009</v>
      </c>
      <c r="B371" t="s">
        <v>5</v>
      </c>
      <c r="C371">
        <v>35</v>
      </c>
      <c r="D371">
        <v>0</v>
      </c>
    </row>
    <row r="372" spans="1:4" x14ac:dyDescent="0.3">
      <c r="A372">
        <v>2009</v>
      </c>
      <c r="B372" t="s">
        <v>5</v>
      </c>
      <c r="C372">
        <v>40</v>
      </c>
      <c r="D372">
        <v>0</v>
      </c>
    </row>
    <row r="373" spans="1:4" x14ac:dyDescent="0.3">
      <c r="A373">
        <v>2009</v>
      </c>
      <c r="B373" t="s">
        <v>5</v>
      </c>
      <c r="C373">
        <v>45</v>
      </c>
      <c r="D373">
        <v>0</v>
      </c>
    </row>
    <row r="374" spans="1:4" x14ac:dyDescent="0.3">
      <c r="A374">
        <v>2009</v>
      </c>
      <c r="B374" t="s">
        <v>5</v>
      </c>
      <c r="C374">
        <v>50</v>
      </c>
      <c r="D374">
        <v>0</v>
      </c>
    </row>
    <row r="375" spans="1:4" x14ac:dyDescent="0.3">
      <c r="A375">
        <v>2009</v>
      </c>
      <c r="B375" t="s">
        <v>5</v>
      </c>
      <c r="C375">
        <v>55</v>
      </c>
      <c r="D375">
        <v>0</v>
      </c>
    </row>
    <row r="376" spans="1:4" x14ac:dyDescent="0.3">
      <c r="A376">
        <v>2009</v>
      </c>
      <c r="B376" t="s">
        <v>5</v>
      </c>
      <c r="C376">
        <v>60</v>
      </c>
      <c r="D376">
        <v>0</v>
      </c>
    </row>
    <row r="377" spans="1:4" x14ac:dyDescent="0.3">
      <c r="A377">
        <v>2009</v>
      </c>
      <c r="B377" t="s">
        <v>5</v>
      </c>
      <c r="C377">
        <v>65</v>
      </c>
      <c r="D377">
        <v>0</v>
      </c>
    </row>
    <row r="378" spans="1:4" x14ac:dyDescent="0.3">
      <c r="A378">
        <v>2009</v>
      </c>
      <c r="B378" t="s">
        <v>5</v>
      </c>
      <c r="C378">
        <v>70</v>
      </c>
      <c r="D378">
        <v>0</v>
      </c>
    </row>
    <row r="379" spans="1:4" x14ac:dyDescent="0.3">
      <c r="A379">
        <v>2009</v>
      </c>
      <c r="B379" t="s">
        <v>5</v>
      </c>
      <c r="C379">
        <v>75</v>
      </c>
      <c r="D379">
        <v>4</v>
      </c>
    </row>
    <row r="380" spans="1:4" x14ac:dyDescent="0.3">
      <c r="A380">
        <v>2009</v>
      </c>
      <c r="B380" t="s">
        <v>5</v>
      </c>
      <c r="C380">
        <v>80</v>
      </c>
      <c r="D380">
        <v>0</v>
      </c>
    </row>
    <row r="381" spans="1:4" x14ac:dyDescent="0.3">
      <c r="A381">
        <v>2009</v>
      </c>
      <c r="B381" t="s">
        <v>5</v>
      </c>
      <c r="C381">
        <v>85</v>
      </c>
      <c r="D381">
        <v>0</v>
      </c>
    </row>
    <row r="382" spans="1:4" x14ac:dyDescent="0.3">
      <c r="A382">
        <v>2010</v>
      </c>
      <c r="B382" t="s">
        <v>5</v>
      </c>
      <c r="C382">
        <v>0</v>
      </c>
      <c r="D382">
        <v>0</v>
      </c>
    </row>
    <row r="383" spans="1:4" x14ac:dyDescent="0.3">
      <c r="A383">
        <v>2010</v>
      </c>
      <c r="B383" t="s">
        <v>5</v>
      </c>
      <c r="C383">
        <v>1</v>
      </c>
      <c r="D383">
        <v>0</v>
      </c>
    </row>
    <row r="384" spans="1:4" x14ac:dyDescent="0.3">
      <c r="A384">
        <v>2010</v>
      </c>
      <c r="B384" t="s">
        <v>5</v>
      </c>
      <c r="C384">
        <v>5</v>
      </c>
      <c r="D384">
        <v>0</v>
      </c>
    </row>
    <row r="385" spans="1:4" x14ac:dyDescent="0.3">
      <c r="A385">
        <v>2010</v>
      </c>
      <c r="B385" t="s">
        <v>5</v>
      </c>
      <c r="C385">
        <v>10</v>
      </c>
      <c r="D385">
        <v>0</v>
      </c>
    </row>
    <row r="386" spans="1:4" x14ac:dyDescent="0.3">
      <c r="A386">
        <v>2010</v>
      </c>
      <c r="B386" t="s">
        <v>5</v>
      </c>
      <c r="C386">
        <v>15</v>
      </c>
      <c r="D386">
        <v>4</v>
      </c>
    </row>
    <row r="387" spans="1:4" x14ac:dyDescent="0.3">
      <c r="A387">
        <v>2010</v>
      </c>
      <c r="B387" t="s">
        <v>5</v>
      </c>
      <c r="C387">
        <v>20</v>
      </c>
      <c r="D387">
        <v>0</v>
      </c>
    </row>
    <row r="388" spans="1:4" x14ac:dyDescent="0.3">
      <c r="A388">
        <v>2010</v>
      </c>
      <c r="B388" t="s">
        <v>5</v>
      </c>
      <c r="C388">
        <v>25</v>
      </c>
      <c r="D388">
        <v>0</v>
      </c>
    </row>
    <row r="389" spans="1:4" x14ac:dyDescent="0.3">
      <c r="A389">
        <v>2010</v>
      </c>
      <c r="B389" t="s">
        <v>5</v>
      </c>
      <c r="C389">
        <v>30</v>
      </c>
      <c r="D389">
        <v>0</v>
      </c>
    </row>
    <row r="390" spans="1:4" x14ac:dyDescent="0.3">
      <c r="A390">
        <v>2010</v>
      </c>
      <c r="B390" t="s">
        <v>5</v>
      </c>
      <c r="C390">
        <v>35</v>
      </c>
      <c r="D390">
        <v>2</v>
      </c>
    </row>
    <row r="391" spans="1:4" x14ac:dyDescent="0.3">
      <c r="A391">
        <v>2010</v>
      </c>
      <c r="B391" t="s">
        <v>5</v>
      </c>
      <c r="C391">
        <v>40</v>
      </c>
      <c r="D391">
        <v>0</v>
      </c>
    </row>
    <row r="392" spans="1:4" x14ac:dyDescent="0.3">
      <c r="A392">
        <v>2010</v>
      </c>
      <c r="B392" t="s">
        <v>5</v>
      </c>
      <c r="C392">
        <v>45</v>
      </c>
      <c r="D392">
        <v>2</v>
      </c>
    </row>
    <row r="393" spans="1:4" x14ac:dyDescent="0.3">
      <c r="A393">
        <v>2010</v>
      </c>
      <c r="B393" t="s">
        <v>5</v>
      </c>
      <c r="C393">
        <v>50</v>
      </c>
      <c r="D393">
        <v>0</v>
      </c>
    </row>
    <row r="394" spans="1:4" x14ac:dyDescent="0.3">
      <c r="A394">
        <v>2010</v>
      </c>
      <c r="B394" t="s">
        <v>5</v>
      </c>
      <c r="C394">
        <v>55</v>
      </c>
      <c r="D394">
        <v>0</v>
      </c>
    </row>
    <row r="395" spans="1:4" x14ac:dyDescent="0.3">
      <c r="A395">
        <v>2010</v>
      </c>
      <c r="B395" t="s">
        <v>5</v>
      </c>
      <c r="C395">
        <v>60</v>
      </c>
      <c r="D395">
        <v>0</v>
      </c>
    </row>
    <row r="396" spans="1:4" x14ac:dyDescent="0.3">
      <c r="A396">
        <v>2010</v>
      </c>
      <c r="B396" t="s">
        <v>5</v>
      </c>
      <c r="C396">
        <v>65</v>
      </c>
      <c r="D396">
        <v>0</v>
      </c>
    </row>
    <row r="397" spans="1:4" x14ac:dyDescent="0.3">
      <c r="A397">
        <v>2010</v>
      </c>
      <c r="B397" t="s">
        <v>5</v>
      </c>
      <c r="C397">
        <v>70</v>
      </c>
      <c r="D397">
        <v>0</v>
      </c>
    </row>
    <row r="398" spans="1:4" x14ac:dyDescent="0.3">
      <c r="A398">
        <v>2010</v>
      </c>
      <c r="B398" t="s">
        <v>5</v>
      </c>
      <c r="C398">
        <v>75</v>
      </c>
      <c r="D398">
        <v>0</v>
      </c>
    </row>
    <row r="399" spans="1:4" x14ac:dyDescent="0.3">
      <c r="A399">
        <v>2010</v>
      </c>
      <c r="B399" t="s">
        <v>5</v>
      </c>
      <c r="C399">
        <v>80</v>
      </c>
      <c r="D399">
        <v>0</v>
      </c>
    </row>
    <row r="400" spans="1:4" x14ac:dyDescent="0.3">
      <c r="A400">
        <v>2010</v>
      </c>
      <c r="B400" t="s">
        <v>5</v>
      </c>
      <c r="C400">
        <v>85</v>
      </c>
      <c r="D400">
        <v>0</v>
      </c>
    </row>
    <row r="401" spans="1:4" x14ac:dyDescent="0.3">
      <c r="A401">
        <v>2011</v>
      </c>
      <c r="B401" t="s">
        <v>5</v>
      </c>
      <c r="C401">
        <v>0</v>
      </c>
      <c r="D401">
        <v>0</v>
      </c>
    </row>
    <row r="402" spans="1:4" x14ac:dyDescent="0.3">
      <c r="A402">
        <v>2011</v>
      </c>
      <c r="B402" t="s">
        <v>5</v>
      </c>
      <c r="C402">
        <v>1</v>
      </c>
      <c r="D402">
        <v>2</v>
      </c>
    </row>
    <row r="403" spans="1:4" x14ac:dyDescent="0.3">
      <c r="A403">
        <v>2011</v>
      </c>
      <c r="B403" t="s">
        <v>5</v>
      </c>
      <c r="C403">
        <v>5</v>
      </c>
      <c r="D403">
        <v>0</v>
      </c>
    </row>
    <row r="404" spans="1:4" x14ac:dyDescent="0.3">
      <c r="A404">
        <v>2011</v>
      </c>
      <c r="B404" t="s">
        <v>5</v>
      </c>
      <c r="C404">
        <v>10</v>
      </c>
      <c r="D404">
        <v>0</v>
      </c>
    </row>
    <row r="405" spans="1:4" x14ac:dyDescent="0.3">
      <c r="A405">
        <v>2011</v>
      </c>
      <c r="B405" t="s">
        <v>5</v>
      </c>
      <c r="C405">
        <v>15</v>
      </c>
      <c r="D405">
        <v>0</v>
      </c>
    </row>
    <row r="406" spans="1:4" x14ac:dyDescent="0.3">
      <c r="A406">
        <v>2011</v>
      </c>
      <c r="B406" t="s">
        <v>5</v>
      </c>
      <c r="C406">
        <v>20</v>
      </c>
      <c r="D406">
        <v>2</v>
      </c>
    </row>
    <row r="407" spans="1:4" x14ac:dyDescent="0.3">
      <c r="A407">
        <v>2011</v>
      </c>
      <c r="B407" t="s">
        <v>5</v>
      </c>
      <c r="C407">
        <v>25</v>
      </c>
      <c r="D407">
        <v>0</v>
      </c>
    </row>
    <row r="408" spans="1:4" x14ac:dyDescent="0.3">
      <c r="A408">
        <v>2011</v>
      </c>
      <c r="B408" t="s">
        <v>5</v>
      </c>
      <c r="C408">
        <v>30</v>
      </c>
      <c r="D408">
        <v>0</v>
      </c>
    </row>
    <row r="409" spans="1:4" x14ac:dyDescent="0.3">
      <c r="A409">
        <v>2011</v>
      </c>
      <c r="B409" t="s">
        <v>5</v>
      </c>
      <c r="C409">
        <v>35</v>
      </c>
      <c r="D409">
        <v>6</v>
      </c>
    </row>
    <row r="410" spans="1:4" x14ac:dyDescent="0.3">
      <c r="A410">
        <v>2011</v>
      </c>
      <c r="B410" t="s">
        <v>5</v>
      </c>
      <c r="C410">
        <v>40</v>
      </c>
      <c r="D410">
        <v>2</v>
      </c>
    </row>
    <row r="411" spans="1:4" x14ac:dyDescent="0.3">
      <c r="A411">
        <v>2011</v>
      </c>
      <c r="B411" t="s">
        <v>5</v>
      </c>
      <c r="C411">
        <v>45</v>
      </c>
      <c r="D411">
        <v>0</v>
      </c>
    </row>
    <row r="412" spans="1:4" x14ac:dyDescent="0.3">
      <c r="A412">
        <v>2011</v>
      </c>
      <c r="B412" t="s">
        <v>5</v>
      </c>
      <c r="C412">
        <v>50</v>
      </c>
      <c r="D412">
        <v>0</v>
      </c>
    </row>
    <row r="413" spans="1:4" x14ac:dyDescent="0.3">
      <c r="A413">
        <v>2011</v>
      </c>
      <c r="B413" t="s">
        <v>5</v>
      </c>
      <c r="C413">
        <v>55</v>
      </c>
      <c r="D413">
        <v>0</v>
      </c>
    </row>
    <row r="414" spans="1:4" x14ac:dyDescent="0.3">
      <c r="A414">
        <v>2011</v>
      </c>
      <c r="B414" t="s">
        <v>5</v>
      </c>
      <c r="C414">
        <v>60</v>
      </c>
      <c r="D414">
        <v>0</v>
      </c>
    </row>
    <row r="415" spans="1:4" x14ac:dyDescent="0.3">
      <c r="A415">
        <v>2011</v>
      </c>
      <c r="B415" t="s">
        <v>5</v>
      </c>
      <c r="C415">
        <v>65</v>
      </c>
      <c r="D415">
        <v>0</v>
      </c>
    </row>
    <row r="416" spans="1:4" x14ac:dyDescent="0.3">
      <c r="A416">
        <v>2011</v>
      </c>
      <c r="B416" t="s">
        <v>5</v>
      </c>
      <c r="C416">
        <v>70</v>
      </c>
      <c r="D416">
        <v>0</v>
      </c>
    </row>
    <row r="417" spans="1:4" x14ac:dyDescent="0.3">
      <c r="A417">
        <v>2011</v>
      </c>
      <c r="B417" t="s">
        <v>5</v>
      </c>
      <c r="C417">
        <v>75</v>
      </c>
      <c r="D417">
        <v>0</v>
      </c>
    </row>
    <row r="418" spans="1:4" x14ac:dyDescent="0.3">
      <c r="A418">
        <v>2011</v>
      </c>
      <c r="B418" t="s">
        <v>5</v>
      </c>
      <c r="C418">
        <v>80</v>
      </c>
      <c r="D418">
        <v>2</v>
      </c>
    </row>
    <row r="419" spans="1:4" x14ac:dyDescent="0.3">
      <c r="A419">
        <v>2011</v>
      </c>
      <c r="B419" t="s">
        <v>5</v>
      </c>
      <c r="C419">
        <v>85</v>
      </c>
      <c r="D419">
        <v>0</v>
      </c>
    </row>
    <row r="420" spans="1:4" x14ac:dyDescent="0.3">
      <c r="A420">
        <v>2012</v>
      </c>
      <c r="B420" t="s">
        <v>5</v>
      </c>
      <c r="C420">
        <v>0</v>
      </c>
      <c r="D420">
        <v>0</v>
      </c>
    </row>
    <row r="421" spans="1:4" x14ac:dyDescent="0.3">
      <c r="A421">
        <v>2012</v>
      </c>
      <c r="B421" t="s">
        <v>5</v>
      </c>
      <c r="C421">
        <v>1</v>
      </c>
      <c r="D421">
        <v>2</v>
      </c>
    </row>
    <row r="422" spans="1:4" x14ac:dyDescent="0.3">
      <c r="A422">
        <v>2012</v>
      </c>
      <c r="B422" t="s">
        <v>5</v>
      </c>
      <c r="C422">
        <v>5</v>
      </c>
      <c r="D422">
        <v>2</v>
      </c>
    </row>
    <row r="423" spans="1:4" x14ac:dyDescent="0.3">
      <c r="A423">
        <v>2012</v>
      </c>
      <c r="B423" t="s">
        <v>5</v>
      </c>
      <c r="C423">
        <v>10</v>
      </c>
      <c r="D423">
        <v>0</v>
      </c>
    </row>
    <row r="424" spans="1:4" x14ac:dyDescent="0.3">
      <c r="A424">
        <v>2012</v>
      </c>
      <c r="B424" t="s">
        <v>5</v>
      </c>
      <c r="C424">
        <v>15</v>
      </c>
      <c r="D424">
        <v>2</v>
      </c>
    </row>
    <row r="425" spans="1:4" x14ac:dyDescent="0.3">
      <c r="A425">
        <v>2012</v>
      </c>
      <c r="B425" t="s">
        <v>5</v>
      </c>
      <c r="C425">
        <v>20</v>
      </c>
      <c r="D425">
        <v>4</v>
      </c>
    </row>
    <row r="426" spans="1:4" x14ac:dyDescent="0.3">
      <c r="A426">
        <v>2012</v>
      </c>
      <c r="B426" t="s">
        <v>5</v>
      </c>
      <c r="C426">
        <v>25</v>
      </c>
      <c r="D426">
        <v>0</v>
      </c>
    </row>
    <row r="427" spans="1:4" x14ac:dyDescent="0.3">
      <c r="A427">
        <v>2012</v>
      </c>
      <c r="B427" t="s">
        <v>5</v>
      </c>
      <c r="C427">
        <v>30</v>
      </c>
      <c r="D427">
        <v>0</v>
      </c>
    </row>
    <row r="428" spans="1:4" x14ac:dyDescent="0.3">
      <c r="A428">
        <v>2012</v>
      </c>
      <c r="B428" t="s">
        <v>5</v>
      </c>
      <c r="C428">
        <v>35</v>
      </c>
      <c r="D428">
        <v>2</v>
      </c>
    </row>
    <row r="429" spans="1:4" x14ac:dyDescent="0.3">
      <c r="A429">
        <v>2012</v>
      </c>
      <c r="B429" t="s">
        <v>5</v>
      </c>
      <c r="C429">
        <v>40</v>
      </c>
      <c r="D429">
        <v>2</v>
      </c>
    </row>
    <row r="430" spans="1:4" x14ac:dyDescent="0.3">
      <c r="A430">
        <v>2012</v>
      </c>
      <c r="B430" t="s">
        <v>5</v>
      </c>
      <c r="C430">
        <v>45</v>
      </c>
      <c r="D430">
        <v>0</v>
      </c>
    </row>
    <row r="431" spans="1:4" x14ac:dyDescent="0.3">
      <c r="A431">
        <v>2012</v>
      </c>
      <c r="B431" t="s">
        <v>5</v>
      </c>
      <c r="C431">
        <v>50</v>
      </c>
      <c r="D431">
        <v>2</v>
      </c>
    </row>
    <row r="432" spans="1:4" x14ac:dyDescent="0.3">
      <c r="A432">
        <v>2012</v>
      </c>
      <c r="B432" t="s">
        <v>5</v>
      </c>
      <c r="C432">
        <v>55</v>
      </c>
      <c r="D432">
        <v>0</v>
      </c>
    </row>
    <row r="433" spans="1:4" x14ac:dyDescent="0.3">
      <c r="A433">
        <v>2012</v>
      </c>
      <c r="B433" t="s">
        <v>5</v>
      </c>
      <c r="C433">
        <v>60</v>
      </c>
      <c r="D433">
        <v>0</v>
      </c>
    </row>
    <row r="434" spans="1:4" x14ac:dyDescent="0.3">
      <c r="A434">
        <v>2012</v>
      </c>
      <c r="B434" t="s">
        <v>5</v>
      </c>
      <c r="C434">
        <v>65</v>
      </c>
      <c r="D434">
        <v>0</v>
      </c>
    </row>
    <row r="435" spans="1:4" x14ac:dyDescent="0.3">
      <c r="A435">
        <v>2012</v>
      </c>
      <c r="B435" t="s">
        <v>5</v>
      </c>
      <c r="C435">
        <v>70</v>
      </c>
      <c r="D435">
        <v>0</v>
      </c>
    </row>
    <row r="436" spans="1:4" x14ac:dyDescent="0.3">
      <c r="A436">
        <v>2012</v>
      </c>
      <c r="B436" t="s">
        <v>5</v>
      </c>
      <c r="C436">
        <v>75</v>
      </c>
      <c r="D436">
        <v>0</v>
      </c>
    </row>
    <row r="437" spans="1:4" x14ac:dyDescent="0.3">
      <c r="A437">
        <v>2012</v>
      </c>
      <c r="B437" t="s">
        <v>5</v>
      </c>
      <c r="C437">
        <v>80</v>
      </c>
      <c r="D437">
        <v>0</v>
      </c>
    </row>
    <row r="438" spans="1:4" x14ac:dyDescent="0.3">
      <c r="A438">
        <v>2012</v>
      </c>
      <c r="B438" t="s">
        <v>5</v>
      </c>
      <c r="C438">
        <v>85</v>
      </c>
      <c r="D438">
        <v>0</v>
      </c>
    </row>
    <row r="439" spans="1:4" x14ac:dyDescent="0.3">
      <c r="A439">
        <v>2013</v>
      </c>
      <c r="B439" t="s">
        <v>5</v>
      </c>
      <c r="C439">
        <v>0</v>
      </c>
      <c r="D439">
        <v>0</v>
      </c>
    </row>
    <row r="440" spans="1:4" x14ac:dyDescent="0.3">
      <c r="A440">
        <v>2013</v>
      </c>
      <c r="B440" t="s">
        <v>5</v>
      </c>
      <c r="C440">
        <v>1</v>
      </c>
      <c r="D440">
        <v>0</v>
      </c>
    </row>
    <row r="441" spans="1:4" x14ac:dyDescent="0.3">
      <c r="A441">
        <v>2013</v>
      </c>
      <c r="B441" t="s">
        <v>5</v>
      </c>
      <c r="C441">
        <v>5</v>
      </c>
      <c r="D441">
        <v>0</v>
      </c>
    </row>
    <row r="442" spans="1:4" x14ac:dyDescent="0.3">
      <c r="A442">
        <v>2013</v>
      </c>
      <c r="B442" t="s">
        <v>5</v>
      </c>
      <c r="C442">
        <v>10</v>
      </c>
      <c r="D442">
        <v>0</v>
      </c>
    </row>
    <row r="443" spans="1:4" x14ac:dyDescent="0.3">
      <c r="A443">
        <v>2013</v>
      </c>
      <c r="B443" t="s">
        <v>5</v>
      </c>
      <c r="C443">
        <v>15</v>
      </c>
      <c r="D443">
        <v>0</v>
      </c>
    </row>
    <row r="444" spans="1:4" x14ac:dyDescent="0.3">
      <c r="A444">
        <v>2013</v>
      </c>
      <c r="B444" t="s">
        <v>5</v>
      </c>
      <c r="C444">
        <v>20</v>
      </c>
      <c r="D444">
        <v>0</v>
      </c>
    </row>
    <row r="445" spans="1:4" x14ac:dyDescent="0.3">
      <c r="A445">
        <v>2013</v>
      </c>
      <c r="B445" t="s">
        <v>5</v>
      </c>
      <c r="C445">
        <v>25</v>
      </c>
      <c r="D445">
        <v>6</v>
      </c>
    </row>
    <row r="446" spans="1:4" x14ac:dyDescent="0.3">
      <c r="A446">
        <v>2013</v>
      </c>
      <c r="B446" t="s">
        <v>5</v>
      </c>
      <c r="C446">
        <v>30</v>
      </c>
      <c r="D446">
        <v>6</v>
      </c>
    </row>
    <row r="447" spans="1:4" x14ac:dyDescent="0.3">
      <c r="A447">
        <v>2013</v>
      </c>
      <c r="B447" t="s">
        <v>5</v>
      </c>
      <c r="C447">
        <v>35</v>
      </c>
      <c r="D447">
        <v>2</v>
      </c>
    </row>
    <row r="448" spans="1:4" x14ac:dyDescent="0.3">
      <c r="A448">
        <v>2013</v>
      </c>
      <c r="B448" t="s">
        <v>5</v>
      </c>
      <c r="C448">
        <v>40</v>
      </c>
      <c r="D448">
        <v>2</v>
      </c>
    </row>
    <row r="449" spans="1:4" x14ac:dyDescent="0.3">
      <c r="A449">
        <v>2013</v>
      </c>
      <c r="B449" t="s">
        <v>5</v>
      </c>
      <c r="C449">
        <v>45</v>
      </c>
      <c r="D449">
        <v>2</v>
      </c>
    </row>
    <row r="450" spans="1:4" x14ac:dyDescent="0.3">
      <c r="A450">
        <v>2013</v>
      </c>
      <c r="B450" t="s">
        <v>5</v>
      </c>
      <c r="C450">
        <v>50</v>
      </c>
      <c r="D450">
        <v>0</v>
      </c>
    </row>
    <row r="451" spans="1:4" x14ac:dyDescent="0.3">
      <c r="A451">
        <v>2013</v>
      </c>
      <c r="B451" t="s">
        <v>5</v>
      </c>
      <c r="C451">
        <v>55</v>
      </c>
      <c r="D451">
        <v>0</v>
      </c>
    </row>
    <row r="452" spans="1:4" x14ac:dyDescent="0.3">
      <c r="A452">
        <v>2013</v>
      </c>
      <c r="B452" t="s">
        <v>5</v>
      </c>
      <c r="C452">
        <v>60</v>
      </c>
      <c r="D452">
        <v>2</v>
      </c>
    </row>
    <row r="453" spans="1:4" x14ac:dyDescent="0.3">
      <c r="A453">
        <v>2013</v>
      </c>
      <c r="B453" t="s">
        <v>5</v>
      </c>
      <c r="C453">
        <v>65</v>
      </c>
      <c r="D453">
        <v>2</v>
      </c>
    </row>
    <row r="454" spans="1:4" x14ac:dyDescent="0.3">
      <c r="A454">
        <v>2013</v>
      </c>
      <c r="B454" t="s">
        <v>5</v>
      </c>
      <c r="C454">
        <v>70</v>
      </c>
      <c r="D454">
        <v>2</v>
      </c>
    </row>
    <row r="455" spans="1:4" x14ac:dyDescent="0.3">
      <c r="A455">
        <v>2013</v>
      </c>
      <c r="B455" t="s">
        <v>5</v>
      </c>
      <c r="C455">
        <v>75</v>
      </c>
      <c r="D455">
        <v>0</v>
      </c>
    </row>
    <row r="456" spans="1:4" x14ac:dyDescent="0.3">
      <c r="A456">
        <v>2013</v>
      </c>
      <c r="B456" t="s">
        <v>5</v>
      </c>
      <c r="C456">
        <v>80</v>
      </c>
      <c r="D456">
        <v>0</v>
      </c>
    </row>
    <row r="457" spans="1:4" x14ac:dyDescent="0.3">
      <c r="A457">
        <v>2013</v>
      </c>
      <c r="B457" t="s">
        <v>5</v>
      </c>
      <c r="C457">
        <v>85</v>
      </c>
      <c r="D457">
        <v>2</v>
      </c>
    </row>
    <row r="458" spans="1:4" x14ac:dyDescent="0.3">
      <c r="A458">
        <v>2014</v>
      </c>
      <c r="B458" t="s">
        <v>5</v>
      </c>
      <c r="C458">
        <v>0</v>
      </c>
      <c r="D458">
        <v>0</v>
      </c>
    </row>
    <row r="459" spans="1:4" x14ac:dyDescent="0.3">
      <c r="A459">
        <v>2014</v>
      </c>
      <c r="B459" t="s">
        <v>5</v>
      </c>
      <c r="C459">
        <v>1</v>
      </c>
      <c r="D459">
        <v>0</v>
      </c>
    </row>
    <row r="460" spans="1:4" x14ac:dyDescent="0.3">
      <c r="A460">
        <v>2014</v>
      </c>
      <c r="B460" t="s">
        <v>5</v>
      </c>
      <c r="C460">
        <v>5</v>
      </c>
      <c r="D460">
        <v>0</v>
      </c>
    </row>
    <row r="461" spans="1:4" x14ac:dyDescent="0.3">
      <c r="A461">
        <v>2014</v>
      </c>
      <c r="B461" t="s">
        <v>5</v>
      </c>
      <c r="C461">
        <v>10</v>
      </c>
      <c r="D461">
        <v>0</v>
      </c>
    </row>
    <row r="462" spans="1:4" x14ac:dyDescent="0.3">
      <c r="A462">
        <v>2014</v>
      </c>
      <c r="B462" t="s">
        <v>5</v>
      </c>
      <c r="C462">
        <v>15</v>
      </c>
      <c r="D462">
        <v>0</v>
      </c>
    </row>
    <row r="463" spans="1:4" x14ac:dyDescent="0.3">
      <c r="A463">
        <v>2014</v>
      </c>
      <c r="B463" t="s">
        <v>5</v>
      </c>
      <c r="C463">
        <v>20</v>
      </c>
      <c r="D463">
        <v>2</v>
      </c>
    </row>
    <row r="464" spans="1:4" x14ac:dyDescent="0.3">
      <c r="A464">
        <v>2014</v>
      </c>
      <c r="B464" t="s">
        <v>5</v>
      </c>
      <c r="C464">
        <v>25</v>
      </c>
      <c r="D464">
        <v>0</v>
      </c>
    </row>
    <row r="465" spans="1:4" x14ac:dyDescent="0.3">
      <c r="A465">
        <v>2014</v>
      </c>
      <c r="B465" t="s">
        <v>5</v>
      </c>
      <c r="C465">
        <v>30</v>
      </c>
      <c r="D465">
        <v>6</v>
      </c>
    </row>
    <row r="466" spans="1:4" x14ac:dyDescent="0.3">
      <c r="A466">
        <v>2014</v>
      </c>
      <c r="B466" t="s">
        <v>5</v>
      </c>
      <c r="C466">
        <v>35</v>
      </c>
      <c r="D466">
        <v>2</v>
      </c>
    </row>
    <row r="467" spans="1:4" x14ac:dyDescent="0.3">
      <c r="A467">
        <v>2014</v>
      </c>
      <c r="B467" t="s">
        <v>5</v>
      </c>
      <c r="C467">
        <v>40</v>
      </c>
      <c r="D467">
        <v>0</v>
      </c>
    </row>
    <row r="468" spans="1:4" x14ac:dyDescent="0.3">
      <c r="A468">
        <v>2014</v>
      </c>
      <c r="B468" t="s">
        <v>5</v>
      </c>
      <c r="C468">
        <v>45</v>
      </c>
      <c r="D468">
        <v>2</v>
      </c>
    </row>
    <row r="469" spans="1:4" x14ac:dyDescent="0.3">
      <c r="A469">
        <v>2014</v>
      </c>
      <c r="B469" t="s">
        <v>5</v>
      </c>
      <c r="C469">
        <v>50</v>
      </c>
      <c r="D469">
        <v>0</v>
      </c>
    </row>
    <row r="470" spans="1:4" x14ac:dyDescent="0.3">
      <c r="A470">
        <v>2014</v>
      </c>
      <c r="B470" t="s">
        <v>5</v>
      </c>
      <c r="C470">
        <v>55</v>
      </c>
      <c r="D470">
        <v>0</v>
      </c>
    </row>
    <row r="471" spans="1:4" x14ac:dyDescent="0.3">
      <c r="A471">
        <v>2014</v>
      </c>
      <c r="B471" t="s">
        <v>5</v>
      </c>
      <c r="C471">
        <v>60</v>
      </c>
      <c r="D471">
        <v>0</v>
      </c>
    </row>
    <row r="472" spans="1:4" x14ac:dyDescent="0.3">
      <c r="A472">
        <v>2014</v>
      </c>
      <c r="B472" t="s">
        <v>5</v>
      </c>
      <c r="C472">
        <v>65</v>
      </c>
      <c r="D472">
        <v>0</v>
      </c>
    </row>
    <row r="473" spans="1:4" x14ac:dyDescent="0.3">
      <c r="A473">
        <v>2014</v>
      </c>
      <c r="B473" t="s">
        <v>5</v>
      </c>
      <c r="C473">
        <v>70</v>
      </c>
      <c r="D473">
        <v>0</v>
      </c>
    </row>
    <row r="474" spans="1:4" x14ac:dyDescent="0.3">
      <c r="A474">
        <v>2014</v>
      </c>
      <c r="B474" t="s">
        <v>5</v>
      </c>
      <c r="C474">
        <v>75</v>
      </c>
      <c r="D474">
        <v>0</v>
      </c>
    </row>
    <row r="475" spans="1:4" x14ac:dyDescent="0.3">
      <c r="A475">
        <v>2014</v>
      </c>
      <c r="B475" t="s">
        <v>5</v>
      </c>
      <c r="C475">
        <v>80</v>
      </c>
      <c r="D475">
        <v>0</v>
      </c>
    </row>
    <row r="476" spans="1:4" x14ac:dyDescent="0.3">
      <c r="A476">
        <v>2014</v>
      </c>
      <c r="B476" t="s">
        <v>5</v>
      </c>
      <c r="C476">
        <v>85</v>
      </c>
      <c r="D476">
        <v>0</v>
      </c>
    </row>
    <row r="477" spans="1:4" x14ac:dyDescent="0.3">
      <c r="A477">
        <v>2015</v>
      </c>
      <c r="B477" t="s">
        <v>5</v>
      </c>
      <c r="C477">
        <v>0</v>
      </c>
      <c r="D477">
        <v>0</v>
      </c>
    </row>
    <row r="478" spans="1:4" x14ac:dyDescent="0.3">
      <c r="A478">
        <v>2015</v>
      </c>
      <c r="B478" t="s">
        <v>5</v>
      </c>
      <c r="C478">
        <v>1</v>
      </c>
      <c r="D478">
        <v>0</v>
      </c>
    </row>
    <row r="479" spans="1:4" x14ac:dyDescent="0.3">
      <c r="A479">
        <v>2015</v>
      </c>
      <c r="B479" t="s">
        <v>5</v>
      </c>
      <c r="C479">
        <v>5</v>
      </c>
      <c r="D479">
        <v>0</v>
      </c>
    </row>
    <row r="480" spans="1:4" x14ac:dyDescent="0.3">
      <c r="A480">
        <v>2015</v>
      </c>
      <c r="B480" t="s">
        <v>5</v>
      </c>
      <c r="C480">
        <v>10</v>
      </c>
      <c r="D480">
        <v>0</v>
      </c>
    </row>
    <row r="481" spans="1:4" x14ac:dyDescent="0.3">
      <c r="A481">
        <v>2015</v>
      </c>
      <c r="B481" t="s">
        <v>5</v>
      </c>
      <c r="C481">
        <v>15</v>
      </c>
      <c r="D481">
        <v>4</v>
      </c>
    </row>
    <row r="482" spans="1:4" x14ac:dyDescent="0.3">
      <c r="A482">
        <v>2015</v>
      </c>
      <c r="B482" t="s">
        <v>5</v>
      </c>
      <c r="C482">
        <v>20</v>
      </c>
      <c r="D482">
        <v>2</v>
      </c>
    </row>
    <row r="483" spans="1:4" x14ac:dyDescent="0.3">
      <c r="A483">
        <v>2015</v>
      </c>
      <c r="B483" t="s">
        <v>5</v>
      </c>
      <c r="C483">
        <v>25</v>
      </c>
      <c r="D483">
        <v>2</v>
      </c>
    </row>
    <row r="484" spans="1:4" x14ac:dyDescent="0.3">
      <c r="A484">
        <v>2015</v>
      </c>
      <c r="B484" t="s">
        <v>5</v>
      </c>
      <c r="C484">
        <v>30</v>
      </c>
      <c r="D484">
        <v>2</v>
      </c>
    </row>
    <row r="485" spans="1:4" x14ac:dyDescent="0.3">
      <c r="A485">
        <v>2015</v>
      </c>
      <c r="B485" t="s">
        <v>5</v>
      </c>
      <c r="C485">
        <v>35</v>
      </c>
      <c r="D485">
        <v>2</v>
      </c>
    </row>
    <row r="486" spans="1:4" x14ac:dyDescent="0.3">
      <c r="A486">
        <v>2015</v>
      </c>
      <c r="B486" t="s">
        <v>5</v>
      </c>
      <c r="C486">
        <v>40</v>
      </c>
      <c r="D486">
        <v>2</v>
      </c>
    </row>
    <row r="487" spans="1:4" x14ac:dyDescent="0.3">
      <c r="A487">
        <v>2015</v>
      </c>
      <c r="B487" t="s">
        <v>5</v>
      </c>
      <c r="C487">
        <v>45</v>
      </c>
      <c r="D487">
        <v>2</v>
      </c>
    </row>
    <row r="488" spans="1:4" x14ac:dyDescent="0.3">
      <c r="A488">
        <v>2015</v>
      </c>
      <c r="B488" t="s">
        <v>5</v>
      </c>
      <c r="C488">
        <v>50</v>
      </c>
      <c r="D488">
        <v>0</v>
      </c>
    </row>
    <row r="489" spans="1:4" x14ac:dyDescent="0.3">
      <c r="A489">
        <v>2015</v>
      </c>
      <c r="B489" t="s">
        <v>5</v>
      </c>
      <c r="C489">
        <v>55</v>
      </c>
      <c r="D489">
        <v>0</v>
      </c>
    </row>
    <row r="490" spans="1:4" x14ac:dyDescent="0.3">
      <c r="A490">
        <v>2015</v>
      </c>
      <c r="B490" t="s">
        <v>5</v>
      </c>
      <c r="C490">
        <v>60</v>
      </c>
      <c r="D490">
        <v>0</v>
      </c>
    </row>
    <row r="491" spans="1:4" x14ac:dyDescent="0.3">
      <c r="A491">
        <v>2015</v>
      </c>
      <c r="B491" t="s">
        <v>5</v>
      </c>
      <c r="C491">
        <v>65</v>
      </c>
      <c r="D491">
        <v>0</v>
      </c>
    </row>
    <row r="492" spans="1:4" x14ac:dyDescent="0.3">
      <c r="A492">
        <v>2015</v>
      </c>
      <c r="B492" t="s">
        <v>5</v>
      </c>
      <c r="C492">
        <v>70</v>
      </c>
      <c r="D492">
        <v>0</v>
      </c>
    </row>
    <row r="493" spans="1:4" x14ac:dyDescent="0.3">
      <c r="A493">
        <v>2015</v>
      </c>
      <c r="B493" t="s">
        <v>5</v>
      </c>
      <c r="C493">
        <v>75</v>
      </c>
      <c r="D493">
        <v>0</v>
      </c>
    </row>
    <row r="494" spans="1:4" x14ac:dyDescent="0.3">
      <c r="A494">
        <v>2015</v>
      </c>
      <c r="B494" t="s">
        <v>5</v>
      </c>
      <c r="C494">
        <v>80</v>
      </c>
      <c r="D494">
        <v>0</v>
      </c>
    </row>
    <row r="495" spans="1:4" x14ac:dyDescent="0.3">
      <c r="A495">
        <v>2015</v>
      </c>
      <c r="B495" t="s">
        <v>5</v>
      </c>
      <c r="C495">
        <v>85</v>
      </c>
      <c r="D495">
        <v>0</v>
      </c>
    </row>
    <row r="496" spans="1:4" x14ac:dyDescent="0.3">
      <c r="A496">
        <v>2016</v>
      </c>
      <c r="B496" t="s">
        <v>5</v>
      </c>
      <c r="C496">
        <v>0</v>
      </c>
      <c r="D496">
        <v>0</v>
      </c>
    </row>
    <row r="497" spans="1:4" x14ac:dyDescent="0.3">
      <c r="A497">
        <v>2016</v>
      </c>
      <c r="B497" t="s">
        <v>5</v>
      </c>
      <c r="C497">
        <v>1</v>
      </c>
      <c r="D497">
        <v>0</v>
      </c>
    </row>
    <row r="498" spans="1:4" x14ac:dyDescent="0.3">
      <c r="A498">
        <v>2016</v>
      </c>
      <c r="B498" t="s">
        <v>5</v>
      </c>
      <c r="C498">
        <v>5</v>
      </c>
      <c r="D498">
        <v>0</v>
      </c>
    </row>
    <row r="499" spans="1:4" x14ac:dyDescent="0.3">
      <c r="A499">
        <v>2016</v>
      </c>
      <c r="B499" t="s">
        <v>5</v>
      </c>
      <c r="C499">
        <v>10</v>
      </c>
      <c r="D499">
        <v>0</v>
      </c>
    </row>
    <row r="500" spans="1:4" x14ac:dyDescent="0.3">
      <c r="A500">
        <v>2016</v>
      </c>
      <c r="B500" t="s">
        <v>5</v>
      </c>
      <c r="C500">
        <v>15</v>
      </c>
      <c r="D500">
        <v>0</v>
      </c>
    </row>
    <row r="501" spans="1:4" x14ac:dyDescent="0.3">
      <c r="A501">
        <v>2016</v>
      </c>
      <c r="B501" t="s">
        <v>5</v>
      </c>
      <c r="C501">
        <v>20</v>
      </c>
      <c r="D501">
        <v>2</v>
      </c>
    </row>
    <row r="502" spans="1:4" x14ac:dyDescent="0.3">
      <c r="A502">
        <v>2016</v>
      </c>
      <c r="B502" t="s">
        <v>5</v>
      </c>
      <c r="C502">
        <v>25</v>
      </c>
      <c r="D502">
        <v>2</v>
      </c>
    </row>
    <row r="503" spans="1:4" x14ac:dyDescent="0.3">
      <c r="A503">
        <v>2016</v>
      </c>
      <c r="B503" t="s">
        <v>5</v>
      </c>
      <c r="C503">
        <v>30</v>
      </c>
      <c r="D503">
        <v>2</v>
      </c>
    </row>
    <row r="504" spans="1:4" x14ac:dyDescent="0.3">
      <c r="A504">
        <v>2016</v>
      </c>
      <c r="B504" t="s">
        <v>5</v>
      </c>
      <c r="C504">
        <v>35</v>
      </c>
      <c r="D504">
        <v>2</v>
      </c>
    </row>
    <row r="505" spans="1:4" x14ac:dyDescent="0.3">
      <c r="A505">
        <v>2016</v>
      </c>
      <c r="B505" t="s">
        <v>5</v>
      </c>
      <c r="C505">
        <v>40</v>
      </c>
      <c r="D505">
        <v>0</v>
      </c>
    </row>
    <row r="506" spans="1:4" x14ac:dyDescent="0.3">
      <c r="A506">
        <v>2016</v>
      </c>
      <c r="B506" t="s">
        <v>5</v>
      </c>
      <c r="C506">
        <v>45</v>
      </c>
      <c r="D506">
        <v>0</v>
      </c>
    </row>
    <row r="507" spans="1:4" x14ac:dyDescent="0.3">
      <c r="A507">
        <v>2016</v>
      </c>
      <c r="B507" t="s">
        <v>5</v>
      </c>
      <c r="C507">
        <v>50</v>
      </c>
      <c r="D507">
        <v>2</v>
      </c>
    </row>
    <row r="508" spans="1:4" x14ac:dyDescent="0.3">
      <c r="A508">
        <v>2016</v>
      </c>
      <c r="B508" t="s">
        <v>5</v>
      </c>
      <c r="C508">
        <v>55</v>
      </c>
      <c r="D508">
        <v>2</v>
      </c>
    </row>
    <row r="509" spans="1:4" x14ac:dyDescent="0.3">
      <c r="A509">
        <v>2016</v>
      </c>
      <c r="B509" t="s">
        <v>5</v>
      </c>
      <c r="C509">
        <v>60</v>
      </c>
      <c r="D509">
        <v>0</v>
      </c>
    </row>
    <row r="510" spans="1:4" x14ac:dyDescent="0.3">
      <c r="A510">
        <v>2016</v>
      </c>
      <c r="B510" t="s">
        <v>5</v>
      </c>
      <c r="C510">
        <v>65</v>
      </c>
      <c r="D510">
        <v>0</v>
      </c>
    </row>
    <row r="511" spans="1:4" x14ac:dyDescent="0.3">
      <c r="A511">
        <v>2016</v>
      </c>
      <c r="B511" t="s">
        <v>5</v>
      </c>
      <c r="C511">
        <v>70</v>
      </c>
      <c r="D511">
        <v>2</v>
      </c>
    </row>
    <row r="512" spans="1:4" x14ac:dyDescent="0.3">
      <c r="A512">
        <v>2016</v>
      </c>
      <c r="B512" t="s">
        <v>5</v>
      </c>
      <c r="C512">
        <v>75</v>
      </c>
      <c r="D512">
        <v>0</v>
      </c>
    </row>
    <row r="513" spans="1:4" x14ac:dyDescent="0.3">
      <c r="A513">
        <v>2016</v>
      </c>
      <c r="B513" t="s">
        <v>5</v>
      </c>
      <c r="C513">
        <v>80</v>
      </c>
      <c r="D513">
        <v>0</v>
      </c>
    </row>
    <row r="514" spans="1:4" x14ac:dyDescent="0.3">
      <c r="A514">
        <v>2016</v>
      </c>
      <c r="B514" t="s">
        <v>5</v>
      </c>
      <c r="C514">
        <v>85</v>
      </c>
      <c r="D514">
        <v>4</v>
      </c>
    </row>
    <row r="515" spans="1:4" x14ac:dyDescent="0.3">
      <c r="A515">
        <v>2017</v>
      </c>
      <c r="B515" t="s">
        <v>5</v>
      </c>
      <c r="C515">
        <v>0</v>
      </c>
      <c r="D515">
        <v>0</v>
      </c>
    </row>
    <row r="516" spans="1:4" x14ac:dyDescent="0.3">
      <c r="A516">
        <v>2017</v>
      </c>
      <c r="B516" t="s">
        <v>5</v>
      </c>
      <c r="C516">
        <v>1</v>
      </c>
      <c r="D516">
        <v>0</v>
      </c>
    </row>
    <row r="517" spans="1:4" x14ac:dyDescent="0.3">
      <c r="A517">
        <v>2017</v>
      </c>
      <c r="B517" t="s">
        <v>5</v>
      </c>
      <c r="C517">
        <v>5</v>
      </c>
      <c r="D517">
        <v>0</v>
      </c>
    </row>
    <row r="518" spans="1:4" x14ac:dyDescent="0.3">
      <c r="A518">
        <v>2017</v>
      </c>
      <c r="B518" t="s">
        <v>5</v>
      </c>
      <c r="C518">
        <v>10</v>
      </c>
      <c r="D518">
        <v>0</v>
      </c>
    </row>
    <row r="519" spans="1:4" x14ac:dyDescent="0.3">
      <c r="A519">
        <v>2017</v>
      </c>
      <c r="B519" t="s">
        <v>5</v>
      </c>
      <c r="C519">
        <v>15</v>
      </c>
      <c r="D519">
        <v>2</v>
      </c>
    </row>
    <row r="520" spans="1:4" x14ac:dyDescent="0.3">
      <c r="A520">
        <v>2017</v>
      </c>
      <c r="B520" t="s">
        <v>5</v>
      </c>
      <c r="C520">
        <v>20</v>
      </c>
      <c r="D520">
        <v>4</v>
      </c>
    </row>
    <row r="521" spans="1:4" x14ac:dyDescent="0.3">
      <c r="A521">
        <v>2017</v>
      </c>
      <c r="B521" t="s">
        <v>5</v>
      </c>
      <c r="C521">
        <v>25</v>
      </c>
      <c r="D521">
        <v>0</v>
      </c>
    </row>
    <row r="522" spans="1:4" x14ac:dyDescent="0.3">
      <c r="A522">
        <v>2017</v>
      </c>
      <c r="B522" t="s">
        <v>5</v>
      </c>
      <c r="C522">
        <v>30</v>
      </c>
      <c r="D522">
        <v>6</v>
      </c>
    </row>
    <row r="523" spans="1:4" x14ac:dyDescent="0.3">
      <c r="A523">
        <v>2017</v>
      </c>
      <c r="B523" t="s">
        <v>5</v>
      </c>
      <c r="C523">
        <v>35</v>
      </c>
      <c r="D523">
        <v>6</v>
      </c>
    </row>
    <row r="524" spans="1:4" x14ac:dyDescent="0.3">
      <c r="A524">
        <v>2017</v>
      </c>
      <c r="B524" t="s">
        <v>5</v>
      </c>
      <c r="C524">
        <v>40</v>
      </c>
      <c r="D524">
        <v>4</v>
      </c>
    </row>
    <row r="525" spans="1:4" x14ac:dyDescent="0.3">
      <c r="A525">
        <v>2017</v>
      </c>
      <c r="B525" t="s">
        <v>5</v>
      </c>
      <c r="C525">
        <v>45</v>
      </c>
      <c r="D525">
        <v>0</v>
      </c>
    </row>
    <row r="526" spans="1:4" x14ac:dyDescent="0.3">
      <c r="A526">
        <v>2017</v>
      </c>
      <c r="B526" t="s">
        <v>5</v>
      </c>
      <c r="C526">
        <v>50</v>
      </c>
      <c r="D526">
        <v>2</v>
      </c>
    </row>
    <row r="527" spans="1:4" x14ac:dyDescent="0.3">
      <c r="A527">
        <v>2017</v>
      </c>
      <c r="B527" t="s">
        <v>5</v>
      </c>
      <c r="C527">
        <v>55</v>
      </c>
      <c r="D527">
        <v>0</v>
      </c>
    </row>
    <row r="528" spans="1:4" x14ac:dyDescent="0.3">
      <c r="A528">
        <v>2017</v>
      </c>
      <c r="B528" t="s">
        <v>5</v>
      </c>
      <c r="C528">
        <v>60</v>
      </c>
      <c r="D528">
        <v>0</v>
      </c>
    </row>
    <row r="529" spans="1:4" x14ac:dyDescent="0.3">
      <c r="A529">
        <v>2017</v>
      </c>
      <c r="B529" t="s">
        <v>5</v>
      </c>
      <c r="C529">
        <v>65</v>
      </c>
      <c r="D529">
        <v>0</v>
      </c>
    </row>
    <row r="530" spans="1:4" x14ac:dyDescent="0.3">
      <c r="A530">
        <v>2017</v>
      </c>
      <c r="B530" t="s">
        <v>5</v>
      </c>
      <c r="C530">
        <v>70</v>
      </c>
      <c r="D530">
        <v>2</v>
      </c>
    </row>
    <row r="531" spans="1:4" x14ac:dyDescent="0.3">
      <c r="A531">
        <v>2017</v>
      </c>
      <c r="B531" t="s">
        <v>5</v>
      </c>
      <c r="C531">
        <v>75</v>
      </c>
      <c r="D531">
        <v>0</v>
      </c>
    </row>
    <row r="532" spans="1:4" x14ac:dyDescent="0.3">
      <c r="A532">
        <v>2017</v>
      </c>
      <c r="B532" t="s">
        <v>5</v>
      </c>
      <c r="C532">
        <v>80</v>
      </c>
      <c r="D532">
        <v>0</v>
      </c>
    </row>
    <row r="533" spans="1:4" x14ac:dyDescent="0.3">
      <c r="A533">
        <v>2017</v>
      </c>
      <c r="B533" t="s">
        <v>5</v>
      </c>
      <c r="C533">
        <v>85</v>
      </c>
      <c r="D533">
        <v>0</v>
      </c>
    </row>
    <row r="534" spans="1:4" x14ac:dyDescent="0.3">
      <c r="A534">
        <v>2018</v>
      </c>
      <c r="B534" t="s">
        <v>5</v>
      </c>
      <c r="C534">
        <v>0</v>
      </c>
      <c r="D534">
        <v>0</v>
      </c>
    </row>
    <row r="535" spans="1:4" x14ac:dyDescent="0.3">
      <c r="A535">
        <v>2018</v>
      </c>
      <c r="B535" t="s">
        <v>5</v>
      </c>
      <c r="C535">
        <v>1</v>
      </c>
      <c r="D535">
        <v>0</v>
      </c>
    </row>
    <row r="536" spans="1:4" x14ac:dyDescent="0.3">
      <c r="A536">
        <v>2018</v>
      </c>
      <c r="B536" t="s">
        <v>5</v>
      </c>
      <c r="C536">
        <v>5</v>
      </c>
      <c r="D536">
        <v>2</v>
      </c>
    </row>
    <row r="537" spans="1:4" x14ac:dyDescent="0.3">
      <c r="A537">
        <v>2018</v>
      </c>
      <c r="B537" t="s">
        <v>5</v>
      </c>
      <c r="C537">
        <v>10</v>
      </c>
      <c r="D537">
        <v>0</v>
      </c>
    </row>
    <row r="538" spans="1:4" x14ac:dyDescent="0.3">
      <c r="A538">
        <v>2018</v>
      </c>
      <c r="B538" t="s">
        <v>5</v>
      </c>
      <c r="C538">
        <v>15</v>
      </c>
      <c r="D538">
        <v>2</v>
      </c>
    </row>
    <row r="539" spans="1:4" x14ac:dyDescent="0.3">
      <c r="A539">
        <v>2018</v>
      </c>
      <c r="B539" t="s">
        <v>5</v>
      </c>
      <c r="C539">
        <v>20</v>
      </c>
      <c r="D539">
        <v>6</v>
      </c>
    </row>
    <row r="540" spans="1:4" x14ac:dyDescent="0.3">
      <c r="A540">
        <v>2018</v>
      </c>
      <c r="B540" t="s">
        <v>5</v>
      </c>
      <c r="C540">
        <v>25</v>
      </c>
      <c r="D540">
        <v>0</v>
      </c>
    </row>
    <row r="541" spans="1:4" x14ac:dyDescent="0.3">
      <c r="A541">
        <v>2018</v>
      </c>
      <c r="B541" t="s">
        <v>5</v>
      </c>
      <c r="C541">
        <v>30</v>
      </c>
      <c r="D541">
        <v>2</v>
      </c>
    </row>
    <row r="542" spans="1:4" x14ac:dyDescent="0.3">
      <c r="A542">
        <v>2018</v>
      </c>
      <c r="B542" t="s">
        <v>5</v>
      </c>
      <c r="C542">
        <v>35</v>
      </c>
      <c r="D542">
        <v>4</v>
      </c>
    </row>
    <row r="543" spans="1:4" x14ac:dyDescent="0.3">
      <c r="A543">
        <v>2018</v>
      </c>
      <c r="B543" t="s">
        <v>5</v>
      </c>
      <c r="C543">
        <v>40</v>
      </c>
      <c r="D543">
        <v>0</v>
      </c>
    </row>
    <row r="544" spans="1:4" x14ac:dyDescent="0.3">
      <c r="A544">
        <v>2018</v>
      </c>
      <c r="B544" t="s">
        <v>5</v>
      </c>
      <c r="C544">
        <v>45</v>
      </c>
      <c r="D544">
        <v>0</v>
      </c>
    </row>
    <row r="545" spans="1:4" x14ac:dyDescent="0.3">
      <c r="A545">
        <v>2018</v>
      </c>
      <c r="B545" t="s">
        <v>5</v>
      </c>
      <c r="C545">
        <v>50</v>
      </c>
      <c r="D545">
        <v>0</v>
      </c>
    </row>
    <row r="546" spans="1:4" x14ac:dyDescent="0.3">
      <c r="A546">
        <v>2018</v>
      </c>
      <c r="B546" t="s">
        <v>5</v>
      </c>
      <c r="C546">
        <v>55</v>
      </c>
      <c r="D546">
        <v>0</v>
      </c>
    </row>
    <row r="547" spans="1:4" x14ac:dyDescent="0.3">
      <c r="A547">
        <v>2018</v>
      </c>
      <c r="B547" t="s">
        <v>5</v>
      </c>
      <c r="C547">
        <v>60</v>
      </c>
      <c r="D547">
        <v>0</v>
      </c>
    </row>
    <row r="548" spans="1:4" x14ac:dyDescent="0.3">
      <c r="A548">
        <v>2018</v>
      </c>
      <c r="B548" t="s">
        <v>5</v>
      </c>
      <c r="C548">
        <v>65</v>
      </c>
      <c r="D548">
        <v>0</v>
      </c>
    </row>
    <row r="549" spans="1:4" x14ac:dyDescent="0.3">
      <c r="A549">
        <v>2018</v>
      </c>
      <c r="B549" t="s">
        <v>5</v>
      </c>
      <c r="C549">
        <v>70</v>
      </c>
      <c r="D549">
        <v>2</v>
      </c>
    </row>
    <row r="550" spans="1:4" x14ac:dyDescent="0.3">
      <c r="A550">
        <v>2018</v>
      </c>
      <c r="B550" t="s">
        <v>5</v>
      </c>
      <c r="C550">
        <v>75</v>
      </c>
      <c r="D550">
        <v>0</v>
      </c>
    </row>
    <row r="551" spans="1:4" x14ac:dyDescent="0.3">
      <c r="A551">
        <v>2018</v>
      </c>
      <c r="B551" t="s">
        <v>5</v>
      </c>
      <c r="C551">
        <v>80</v>
      </c>
      <c r="D551">
        <v>2</v>
      </c>
    </row>
    <row r="552" spans="1:4" x14ac:dyDescent="0.3">
      <c r="A552">
        <v>2018</v>
      </c>
      <c r="B552" t="s">
        <v>5</v>
      </c>
      <c r="C552">
        <v>85</v>
      </c>
      <c r="D552">
        <v>0</v>
      </c>
    </row>
    <row r="553" spans="1:4" x14ac:dyDescent="0.3">
      <c r="A553">
        <v>2019</v>
      </c>
      <c r="B553" t="s">
        <v>5</v>
      </c>
      <c r="C553">
        <v>0</v>
      </c>
      <c r="D553" s="57">
        <v>0</v>
      </c>
    </row>
    <row r="554" spans="1:4" x14ac:dyDescent="0.3">
      <c r="A554">
        <v>2019</v>
      </c>
      <c r="B554" t="s">
        <v>5</v>
      </c>
      <c r="C554">
        <v>1</v>
      </c>
      <c r="D554" s="57">
        <v>0</v>
      </c>
    </row>
    <row r="555" spans="1:4" x14ac:dyDescent="0.3">
      <c r="A555">
        <v>2019</v>
      </c>
      <c r="B555" t="s">
        <v>5</v>
      </c>
      <c r="C555">
        <v>5</v>
      </c>
      <c r="D555" s="57">
        <v>0</v>
      </c>
    </row>
    <row r="556" spans="1:4" x14ac:dyDescent="0.3">
      <c r="A556">
        <v>2019</v>
      </c>
      <c r="B556" t="s">
        <v>5</v>
      </c>
      <c r="C556">
        <v>10</v>
      </c>
      <c r="D556" s="57">
        <v>0</v>
      </c>
    </row>
    <row r="557" spans="1:4" x14ac:dyDescent="0.3">
      <c r="A557">
        <v>2019</v>
      </c>
      <c r="B557" t="s">
        <v>5</v>
      </c>
      <c r="C557">
        <v>15</v>
      </c>
      <c r="D557" s="57">
        <v>0</v>
      </c>
    </row>
    <row r="558" spans="1:4" x14ac:dyDescent="0.3">
      <c r="A558">
        <v>2019</v>
      </c>
      <c r="B558" t="s">
        <v>5</v>
      </c>
      <c r="C558">
        <v>20</v>
      </c>
      <c r="D558" s="57">
        <v>0</v>
      </c>
    </row>
    <row r="559" spans="1:4" x14ac:dyDescent="0.3">
      <c r="A559">
        <v>2019</v>
      </c>
      <c r="B559" t="s">
        <v>5</v>
      </c>
      <c r="C559">
        <v>25</v>
      </c>
      <c r="D559" s="57">
        <v>0</v>
      </c>
    </row>
    <row r="560" spans="1:4" x14ac:dyDescent="0.3">
      <c r="A560">
        <v>2019</v>
      </c>
      <c r="B560" t="s">
        <v>5</v>
      </c>
      <c r="C560">
        <v>30</v>
      </c>
      <c r="D560" s="57">
        <v>2</v>
      </c>
    </row>
    <row r="561" spans="1:4" x14ac:dyDescent="0.3">
      <c r="A561">
        <v>2019</v>
      </c>
      <c r="B561" t="s">
        <v>5</v>
      </c>
      <c r="C561">
        <v>35</v>
      </c>
      <c r="D561" s="57">
        <v>2</v>
      </c>
    </row>
    <row r="562" spans="1:4" x14ac:dyDescent="0.3">
      <c r="A562">
        <v>2019</v>
      </c>
      <c r="B562" t="s">
        <v>5</v>
      </c>
      <c r="C562">
        <v>40</v>
      </c>
      <c r="D562" s="57">
        <v>2</v>
      </c>
    </row>
    <row r="563" spans="1:4" x14ac:dyDescent="0.3">
      <c r="A563">
        <v>2019</v>
      </c>
      <c r="B563" t="s">
        <v>5</v>
      </c>
      <c r="C563">
        <v>45</v>
      </c>
      <c r="D563" s="57">
        <v>0</v>
      </c>
    </row>
    <row r="564" spans="1:4" x14ac:dyDescent="0.3">
      <c r="A564">
        <v>2019</v>
      </c>
      <c r="B564" t="s">
        <v>5</v>
      </c>
      <c r="C564">
        <v>50</v>
      </c>
      <c r="D564" s="57">
        <v>0</v>
      </c>
    </row>
    <row r="565" spans="1:4" x14ac:dyDescent="0.3">
      <c r="A565">
        <v>2019</v>
      </c>
      <c r="B565" t="s">
        <v>5</v>
      </c>
      <c r="C565">
        <v>55</v>
      </c>
      <c r="D565" s="57">
        <v>0</v>
      </c>
    </row>
    <row r="566" spans="1:4" x14ac:dyDescent="0.3">
      <c r="A566">
        <v>2019</v>
      </c>
      <c r="B566" t="s">
        <v>5</v>
      </c>
      <c r="C566">
        <v>60</v>
      </c>
      <c r="D566" s="57">
        <v>0</v>
      </c>
    </row>
    <row r="567" spans="1:4" x14ac:dyDescent="0.3">
      <c r="A567">
        <v>2019</v>
      </c>
      <c r="B567" t="s">
        <v>5</v>
      </c>
      <c r="C567">
        <v>65</v>
      </c>
      <c r="D567" s="57">
        <v>0</v>
      </c>
    </row>
    <row r="568" spans="1:4" x14ac:dyDescent="0.3">
      <c r="A568">
        <v>2019</v>
      </c>
      <c r="B568" t="s">
        <v>5</v>
      </c>
      <c r="C568">
        <v>70</v>
      </c>
      <c r="D568" s="57">
        <v>0</v>
      </c>
    </row>
    <row r="569" spans="1:4" x14ac:dyDescent="0.3">
      <c r="A569">
        <v>2019</v>
      </c>
      <c r="B569" t="s">
        <v>5</v>
      </c>
      <c r="C569">
        <v>75</v>
      </c>
      <c r="D569" s="57">
        <v>2</v>
      </c>
    </row>
    <row r="570" spans="1:4" x14ac:dyDescent="0.3">
      <c r="A570">
        <v>2019</v>
      </c>
      <c r="B570" t="s">
        <v>5</v>
      </c>
      <c r="C570">
        <v>80</v>
      </c>
      <c r="D570" s="57">
        <v>0</v>
      </c>
    </row>
    <row r="571" spans="1:4" x14ac:dyDescent="0.3">
      <c r="A571">
        <v>2019</v>
      </c>
      <c r="B571" t="s">
        <v>5</v>
      </c>
      <c r="C571">
        <v>85</v>
      </c>
      <c r="D571" s="57">
        <v>0</v>
      </c>
    </row>
    <row r="572" spans="1:4" x14ac:dyDescent="0.3">
      <c r="A572">
        <v>2020</v>
      </c>
      <c r="B572" t="s">
        <v>5</v>
      </c>
      <c r="C572">
        <v>0</v>
      </c>
      <c r="D572">
        <v>0</v>
      </c>
    </row>
    <row r="573" spans="1:4" x14ac:dyDescent="0.3">
      <c r="A573">
        <v>2020</v>
      </c>
      <c r="B573" t="s">
        <v>5</v>
      </c>
      <c r="C573">
        <v>1</v>
      </c>
      <c r="D573">
        <v>0</v>
      </c>
    </row>
    <row r="574" spans="1:4" x14ac:dyDescent="0.3">
      <c r="A574">
        <v>2020</v>
      </c>
      <c r="B574" t="s">
        <v>5</v>
      </c>
      <c r="C574">
        <v>5</v>
      </c>
      <c r="D574">
        <v>0</v>
      </c>
    </row>
    <row r="575" spans="1:4" x14ac:dyDescent="0.3">
      <c r="A575">
        <v>2020</v>
      </c>
      <c r="B575" t="s">
        <v>5</v>
      </c>
      <c r="C575">
        <v>10</v>
      </c>
      <c r="D575">
        <v>0</v>
      </c>
    </row>
    <row r="576" spans="1:4" x14ac:dyDescent="0.3">
      <c r="A576">
        <v>2020</v>
      </c>
      <c r="B576" t="s">
        <v>5</v>
      </c>
      <c r="C576">
        <v>15</v>
      </c>
      <c r="D576">
        <v>0</v>
      </c>
    </row>
    <row r="577" spans="1:4" x14ac:dyDescent="0.3">
      <c r="A577">
        <v>2020</v>
      </c>
      <c r="B577" t="s">
        <v>5</v>
      </c>
      <c r="C577">
        <v>20</v>
      </c>
      <c r="D577">
        <v>6</v>
      </c>
    </row>
    <row r="578" spans="1:4" x14ac:dyDescent="0.3">
      <c r="A578">
        <v>2020</v>
      </c>
      <c r="B578" t="s">
        <v>5</v>
      </c>
      <c r="C578">
        <v>25</v>
      </c>
      <c r="D578">
        <v>0</v>
      </c>
    </row>
    <row r="579" spans="1:4" x14ac:dyDescent="0.3">
      <c r="A579">
        <v>2020</v>
      </c>
      <c r="B579" t="s">
        <v>5</v>
      </c>
      <c r="C579">
        <v>30</v>
      </c>
      <c r="D579">
        <v>2</v>
      </c>
    </row>
    <row r="580" spans="1:4" x14ac:dyDescent="0.3">
      <c r="A580">
        <v>2020</v>
      </c>
      <c r="B580" t="s">
        <v>5</v>
      </c>
      <c r="C580">
        <v>35</v>
      </c>
      <c r="D580">
        <v>4</v>
      </c>
    </row>
    <row r="581" spans="1:4" x14ac:dyDescent="0.3">
      <c r="A581">
        <v>2020</v>
      </c>
      <c r="B581" t="s">
        <v>5</v>
      </c>
      <c r="C581">
        <v>40</v>
      </c>
      <c r="D581">
        <v>0</v>
      </c>
    </row>
    <row r="582" spans="1:4" x14ac:dyDescent="0.3">
      <c r="A582">
        <v>2020</v>
      </c>
      <c r="B582" t="s">
        <v>5</v>
      </c>
      <c r="C582">
        <v>45</v>
      </c>
      <c r="D582">
        <v>4</v>
      </c>
    </row>
    <row r="583" spans="1:4" x14ac:dyDescent="0.3">
      <c r="A583">
        <v>2020</v>
      </c>
      <c r="B583" t="s">
        <v>5</v>
      </c>
      <c r="C583">
        <v>50</v>
      </c>
      <c r="D583">
        <v>0</v>
      </c>
    </row>
    <row r="584" spans="1:4" x14ac:dyDescent="0.3">
      <c r="A584">
        <v>2020</v>
      </c>
      <c r="B584" t="s">
        <v>5</v>
      </c>
      <c r="C584">
        <v>55</v>
      </c>
      <c r="D584">
        <v>2</v>
      </c>
    </row>
    <row r="585" spans="1:4" x14ac:dyDescent="0.3">
      <c r="A585">
        <v>2020</v>
      </c>
      <c r="B585" t="s">
        <v>5</v>
      </c>
      <c r="C585">
        <v>60</v>
      </c>
      <c r="D585">
        <v>2</v>
      </c>
    </row>
    <row r="586" spans="1:4" x14ac:dyDescent="0.3">
      <c r="A586">
        <v>2020</v>
      </c>
      <c r="B586" t="s">
        <v>5</v>
      </c>
      <c r="C586">
        <v>65</v>
      </c>
      <c r="D586">
        <v>2</v>
      </c>
    </row>
    <row r="587" spans="1:4" x14ac:dyDescent="0.3">
      <c r="A587">
        <v>2020</v>
      </c>
      <c r="B587" t="s">
        <v>5</v>
      </c>
      <c r="C587">
        <v>70</v>
      </c>
      <c r="D587">
        <v>0</v>
      </c>
    </row>
    <row r="588" spans="1:4" x14ac:dyDescent="0.3">
      <c r="A588">
        <v>2020</v>
      </c>
      <c r="B588" t="s">
        <v>5</v>
      </c>
      <c r="C588">
        <v>75</v>
      </c>
      <c r="D588">
        <v>0</v>
      </c>
    </row>
    <row r="589" spans="1:4" x14ac:dyDescent="0.3">
      <c r="A589">
        <v>2020</v>
      </c>
      <c r="B589" t="s">
        <v>5</v>
      </c>
      <c r="C589">
        <v>80</v>
      </c>
      <c r="D589">
        <v>2</v>
      </c>
    </row>
    <row r="590" spans="1:4" x14ac:dyDescent="0.3">
      <c r="A590">
        <v>2020</v>
      </c>
      <c r="B590" t="s">
        <v>5</v>
      </c>
      <c r="C590">
        <v>85</v>
      </c>
      <c r="D590">
        <v>2</v>
      </c>
    </row>
    <row r="591" spans="1:4" x14ac:dyDescent="0.3">
      <c r="A591">
        <v>2021</v>
      </c>
      <c r="B591" t="s">
        <v>5</v>
      </c>
      <c r="C591">
        <v>0</v>
      </c>
      <c r="D591">
        <v>0</v>
      </c>
    </row>
    <row r="592" spans="1:4" x14ac:dyDescent="0.3">
      <c r="A592">
        <v>2021</v>
      </c>
      <c r="B592" t="s">
        <v>5</v>
      </c>
      <c r="C592">
        <v>1</v>
      </c>
      <c r="D592">
        <v>0</v>
      </c>
    </row>
    <row r="593" spans="1:4" x14ac:dyDescent="0.3">
      <c r="A593">
        <v>2021</v>
      </c>
      <c r="B593" t="s">
        <v>5</v>
      </c>
      <c r="C593">
        <v>5</v>
      </c>
      <c r="D593">
        <v>0</v>
      </c>
    </row>
    <row r="594" spans="1:4" x14ac:dyDescent="0.3">
      <c r="A594">
        <v>2021</v>
      </c>
      <c r="B594" t="s">
        <v>5</v>
      </c>
      <c r="C594">
        <v>10</v>
      </c>
      <c r="D594">
        <v>0</v>
      </c>
    </row>
    <row r="595" spans="1:4" x14ac:dyDescent="0.3">
      <c r="A595">
        <v>2021</v>
      </c>
      <c r="B595" t="s">
        <v>5</v>
      </c>
      <c r="C595">
        <v>15</v>
      </c>
      <c r="D595">
        <v>0</v>
      </c>
    </row>
    <row r="596" spans="1:4" x14ac:dyDescent="0.3">
      <c r="A596">
        <v>2021</v>
      </c>
      <c r="B596" t="s">
        <v>5</v>
      </c>
      <c r="C596">
        <v>20</v>
      </c>
      <c r="D596">
        <v>2</v>
      </c>
    </row>
    <row r="597" spans="1:4" x14ac:dyDescent="0.3">
      <c r="A597">
        <v>2021</v>
      </c>
      <c r="B597" t="s">
        <v>5</v>
      </c>
      <c r="C597">
        <v>25</v>
      </c>
      <c r="D597">
        <v>2</v>
      </c>
    </row>
    <row r="598" spans="1:4" x14ac:dyDescent="0.3">
      <c r="A598">
        <v>2021</v>
      </c>
      <c r="B598" t="s">
        <v>5</v>
      </c>
      <c r="C598">
        <v>30</v>
      </c>
      <c r="D598">
        <v>2</v>
      </c>
    </row>
    <row r="599" spans="1:4" x14ac:dyDescent="0.3">
      <c r="A599">
        <v>2021</v>
      </c>
      <c r="B599" t="s">
        <v>5</v>
      </c>
      <c r="C599">
        <v>35</v>
      </c>
      <c r="D599">
        <v>2</v>
      </c>
    </row>
    <row r="600" spans="1:4" x14ac:dyDescent="0.3">
      <c r="A600">
        <v>2021</v>
      </c>
      <c r="B600" t="s">
        <v>5</v>
      </c>
      <c r="C600">
        <v>40</v>
      </c>
      <c r="D600">
        <v>6</v>
      </c>
    </row>
    <row r="601" spans="1:4" x14ac:dyDescent="0.3">
      <c r="A601">
        <v>2021</v>
      </c>
      <c r="B601" t="s">
        <v>5</v>
      </c>
      <c r="C601">
        <v>45</v>
      </c>
      <c r="D601">
        <v>0</v>
      </c>
    </row>
    <row r="602" spans="1:4" x14ac:dyDescent="0.3">
      <c r="A602">
        <v>2021</v>
      </c>
      <c r="B602" t="s">
        <v>5</v>
      </c>
      <c r="C602">
        <v>50</v>
      </c>
      <c r="D602">
        <v>0</v>
      </c>
    </row>
    <row r="603" spans="1:4" x14ac:dyDescent="0.3">
      <c r="A603">
        <v>2021</v>
      </c>
      <c r="B603" t="s">
        <v>5</v>
      </c>
      <c r="C603">
        <v>55</v>
      </c>
      <c r="D603">
        <v>0</v>
      </c>
    </row>
    <row r="604" spans="1:4" x14ac:dyDescent="0.3">
      <c r="A604">
        <v>2021</v>
      </c>
      <c r="B604" t="s">
        <v>5</v>
      </c>
      <c r="C604">
        <v>60</v>
      </c>
      <c r="D604">
        <v>0</v>
      </c>
    </row>
    <row r="605" spans="1:4" x14ac:dyDescent="0.3">
      <c r="A605">
        <v>2021</v>
      </c>
      <c r="B605" t="s">
        <v>5</v>
      </c>
      <c r="C605">
        <v>65</v>
      </c>
      <c r="D605">
        <v>2</v>
      </c>
    </row>
    <row r="606" spans="1:4" x14ac:dyDescent="0.3">
      <c r="A606">
        <v>2021</v>
      </c>
      <c r="B606" t="s">
        <v>5</v>
      </c>
      <c r="C606">
        <v>70</v>
      </c>
      <c r="D606">
        <v>0</v>
      </c>
    </row>
    <row r="607" spans="1:4" x14ac:dyDescent="0.3">
      <c r="A607">
        <v>2021</v>
      </c>
      <c r="B607" t="s">
        <v>5</v>
      </c>
      <c r="C607">
        <v>75</v>
      </c>
      <c r="D607">
        <v>0</v>
      </c>
    </row>
    <row r="608" spans="1:4" x14ac:dyDescent="0.3">
      <c r="A608">
        <v>2021</v>
      </c>
      <c r="B608" t="s">
        <v>5</v>
      </c>
      <c r="C608">
        <v>80</v>
      </c>
      <c r="D608">
        <v>0</v>
      </c>
    </row>
    <row r="609" spans="1:4" x14ac:dyDescent="0.3">
      <c r="A609">
        <v>2021</v>
      </c>
      <c r="B609" t="s">
        <v>5</v>
      </c>
      <c r="C609">
        <v>85</v>
      </c>
      <c r="D609">
        <v>0</v>
      </c>
    </row>
    <row r="610" spans="1:4" x14ac:dyDescent="0.3">
      <c r="A610">
        <v>2022</v>
      </c>
      <c r="B610" t="s">
        <v>5</v>
      </c>
      <c r="C610">
        <v>0</v>
      </c>
      <c r="D610">
        <v>0</v>
      </c>
    </row>
    <row r="611" spans="1:4" x14ac:dyDescent="0.3">
      <c r="A611">
        <v>2022</v>
      </c>
      <c r="B611" t="s">
        <v>5</v>
      </c>
      <c r="C611">
        <v>1</v>
      </c>
      <c r="D611">
        <v>0</v>
      </c>
    </row>
    <row r="612" spans="1:4" x14ac:dyDescent="0.3">
      <c r="A612">
        <v>2022</v>
      </c>
      <c r="B612" t="s">
        <v>5</v>
      </c>
      <c r="C612">
        <v>5</v>
      </c>
      <c r="D612">
        <v>0</v>
      </c>
    </row>
    <row r="613" spans="1:4" x14ac:dyDescent="0.3">
      <c r="A613">
        <v>2022</v>
      </c>
      <c r="B613" t="s">
        <v>5</v>
      </c>
      <c r="C613">
        <v>10</v>
      </c>
      <c r="D613">
        <v>0</v>
      </c>
    </row>
    <row r="614" spans="1:4" x14ac:dyDescent="0.3">
      <c r="A614">
        <v>2022</v>
      </c>
      <c r="B614" t="s">
        <v>5</v>
      </c>
      <c r="C614">
        <v>15</v>
      </c>
      <c r="D614">
        <v>0</v>
      </c>
    </row>
    <row r="615" spans="1:4" x14ac:dyDescent="0.3">
      <c r="A615">
        <v>2022</v>
      </c>
      <c r="B615" t="s">
        <v>5</v>
      </c>
      <c r="C615">
        <v>20</v>
      </c>
      <c r="D615">
        <v>0</v>
      </c>
    </row>
    <row r="616" spans="1:4" x14ac:dyDescent="0.3">
      <c r="A616">
        <v>2022</v>
      </c>
      <c r="B616" t="s">
        <v>5</v>
      </c>
      <c r="C616">
        <v>25</v>
      </c>
      <c r="D616">
        <v>0</v>
      </c>
    </row>
    <row r="617" spans="1:4" x14ac:dyDescent="0.3">
      <c r="A617">
        <v>2022</v>
      </c>
      <c r="B617" t="s">
        <v>5</v>
      </c>
      <c r="C617">
        <v>30</v>
      </c>
      <c r="D617">
        <v>4</v>
      </c>
    </row>
    <row r="618" spans="1:4" x14ac:dyDescent="0.3">
      <c r="A618">
        <v>2022</v>
      </c>
      <c r="B618" t="s">
        <v>5</v>
      </c>
      <c r="C618">
        <v>35</v>
      </c>
      <c r="D618">
        <v>2</v>
      </c>
    </row>
    <row r="619" spans="1:4" x14ac:dyDescent="0.3">
      <c r="A619">
        <v>2022</v>
      </c>
      <c r="B619" t="s">
        <v>5</v>
      </c>
      <c r="C619">
        <v>40</v>
      </c>
      <c r="D619">
        <v>0</v>
      </c>
    </row>
    <row r="620" spans="1:4" x14ac:dyDescent="0.3">
      <c r="A620">
        <v>2022</v>
      </c>
      <c r="B620" t="s">
        <v>5</v>
      </c>
      <c r="C620">
        <v>45</v>
      </c>
      <c r="D620">
        <v>2</v>
      </c>
    </row>
    <row r="621" spans="1:4" x14ac:dyDescent="0.3">
      <c r="A621">
        <v>2022</v>
      </c>
      <c r="B621" t="s">
        <v>5</v>
      </c>
      <c r="C621">
        <v>50</v>
      </c>
      <c r="D621">
        <v>0</v>
      </c>
    </row>
    <row r="622" spans="1:4" x14ac:dyDescent="0.3">
      <c r="A622">
        <v>2022</v>
      </c>
      <c r="B622" t="s">
        <v>5</v>
      </c>
      <c r="C622">
        <v>55</v>
      </c>
      <c r="D622">
        <v>4</v>
      </c>
    </row>
    <row r="623" spans="1:4" x14ac:dyDescent="0.3">
      <c r="A623">
        <v>2022</v>
      </c>
      <c r="B623" t="s">
        <v>5</v>
      </c>
      <c r="C623">
        <v>60</v>
      </c>
      <c r="D623">
        <v>2</v>
      </c>
    </row>
    <row r="624" spans="1:4" x14ac:dyDescent="0.3">
      <c r="A624">
        <v>2022</v>
      </c>
      <c r="B624" t="s">
        <v>5</v>
      </c>
      <c r="C624">
        <v>65</v>
      </c>
      <c r="D624">
        <v>0</v>
      </c>
    </row>
    <row r="625" spans="1:4" x14ac:dyDescent="0.3">
      <c r="A625">
        <v>2022</v>
      </c>
      <c r="B625" t="s">
        <v>5</v>
      </c>
      <c r="C625">
        <v>70</v>
      </c>
      <c r="D625">
        <v>0</v>
      </c>
    </row>
    <row r="626" spans="1:4" x14ac:dyDescent="0.3">
      <c r="A626">
        <v>2022</v>
      </c>
      <c r="B626" t="s">
        <v>5</v>
      </c>
      <c r="C626">
        <v>75</v>
      </c>
      <c r="D626">
        <v>0</v>
      </c>
    </row>
    <row r="627" spans="1:4" x14ac:dyDescent="0.3">
      <c r="A627">
        <v>2022</v>
      </c>
      <c r="B627" t="s">
        <v>5</v>
      </c>
      <c r="C627">
        <v>80</v>
      </c>
      <c r="D627">
        <v>0</v>
      </c>
    </row>
    <row r="628" spans="1:4" x14ac:dyDescent="0.3">
      <c r="A628">
        <v>2022</v>
      </c>
      <c r="B628" t="s">
        <v>5</v>
      </c>
      <c r="C628">
        <v>85</v>
      </c>
      <c r="D628">
        <v>0</v>
      </c>
    </row>
    <row r="629" spans="1:4" x14ac:dyDescent="0.3">
      <c r="A629">
        <v>2023</v>
      </c>
      <c r="B629" t="s">
        <v>5</v>
      </c>
      <c r="C629">
        <v>0</v>
      </c>
      <c r="D629">
        <v>0</v>
      </c>
    </row>
    <row r="630" spans="1:4" x14ac:dyDescent="0.3">
      <c r="A630">
        <v>2023</v>
      </c>
      <c r="B630" t="s">
        <v>5</v>
      </c>
      <c r="C630">
        <v>1</v>
      </c>
      <c r="D630">
        <v>0</v>
      </c>
    </row>
    <row r="631" spans="1:4" x14ac:dyDescent="0.3">
      <c r="A631">
        <v>2023</v>
      </c>
      <c r="B631" t="s">
        <v>5</v>
      </c>
      <c r="C631">
        <v>5</v>
      </c>
      <c r="D631">
        <v>0</v>
      </c>
    </row>
    <row r="632" spans="1:4" x14ac:dyDescent="0.3">
      <c r="A632">
        <v>2023</v>
      </c>
      <c r="B632" t="s">
        <v>5</v>
      </c>
      <c r="C632">
        <v>10</v>
      </c>
      <c r="D632">
        <v>2</v>
      </c>
    </row>
    <row r="633" spans="1:4" x14ac:dyDescent="0.3">
      <c r="A633">
        <v>2023</v>
      </c>
      <c r="B633" t="s">
        <v>5</v>
      </c>
      <c r="C633">
        <v>15</v>
      </c>
      <c r="D633">
        <v>0</v>
      </c>
    </row>
    <row r="634" spans="1:4" x14ac:dyDescent="0.3">
      <c r="A634">
        <v>2023</v>
      </c>
      <c r="B634" t="s">
        <v>5</v>
      </c>
      <c r="C634">
        <v>20</v>
      </c>
      <c r="D634">
        <v>0</v>
      </c>
    </row>
    <row r="635" spans="1:4" x14ac:dyDescent="0.3">
      <c r="A635">
        <v>2023</v>
      </c>
      <c r="B635" t="s">
        <v>5</v>
      </c>
      <c r="C635">
        <v>25</v>
      </c>
      <c r="D635">
        <v>2</v>
      </c>
    </row>
    <row r="636" spans="1:4" x14ac:dyDescent="0.3">
      <c r="A636">
        <v>2023</v>
      </c>
      <c r="B636" t="s">
        <v>5</v>
      </c>
      <c r="C636">
        <v>30</v>
      </c>
      <c r="D636">
        <v>8</v>
      </c>
    </row>
    <row r="637" spans="1:4" x14ac:dyDescent="0.3">
      <c r="A637">
        <v>2023</v>
      </c>
      <c r="B637" t="s">
        <v>5</v>
      </c>
      <c r="C637">
        <v>35</v>
      </c>
      <c r="D637">
        <v>2</v>
      </c>
    </row>
    <row r="638" spans="1:4" x14ac:dyDescent="0.3">
      <c r="A638">
        <v>2023</v>
      </c>
      <c r="B638" t="s">
        <v>5</v>
      </c>
      <c r="C638">
        <v>40</v>
      </c>
      <c r="D638">
        <v>4</v>
      </c>
    </row>
    <row r="639" spans="1:4" x14ac:dyDescent="0.3">
      <c r="A639">
        <v>2023</v>
      </c>
      <c r="B639" t="s">
        <v>5</v>
      </c>
      <c r="C639">
        <v>45</v>
      </c>
      <c r="D639">
        <v>0</v>
      </c>
    </row>
    <row r="640" spans="1:4" x14ac:dyDescent="0.3">
      <c r="A640">
        <v>2023</v>
      </c>
      <c r="B640" t="s">
        <v>5</v>
      </c>
      <c r="C640">
        <v>50</v>
      </c>
      <c r="D640">
        <v>2</v>
      </c>
    </row>
    <row r="641" spans="1:4" x14ac:dyDescent="0.3">
      <c r="A641">
        <v>2023</v>
      </c>
      <c r="B641" t="s">
        <v>5</v>
      </c>
      <c r="C641">
        <v>55</v>
      </c>
      <c r="D641">
        <v>2</v>
      </c>
    </row>
    <row r="642" spans="1:4" x14ac:dyDescent="0.3">
      <c r="A642">
        <v>2023</v>
      </c>
      <c r="B642" t="s">
        <v>5</v>
      </c>
      <c r="C642">
        <v>60</v>
      </c>
      <c r="D642">
        <v>2</v>
      </c>
    </row>
    <row r="643" spans="1:4" x14ac:dyDescent="0.3">
      <c r="A643">
        <v>2023</v>
      </c>
      <c r="B643" t="s">
        <v>5</v>
      </c>
      <c r="C643">
        <v>65</v>
      </c>
      <c r="D643">
        <v>0</v>
      </c>
    </row>
    <row r="644" spans="1:4" x14ac:dyDescent="0.3">
      <c r="A644">
        <v>2023</v>
      </c>
      <c r="B644" t="s">
        <v>5</v>
      </c>
      <c r="C644">
        <v>70</v>
      </c>
      <c r="D644">
        <v>0</v>
      </c>
    </row>
    <row r="645" spans="1:4" x14ac:dyDescent="0.3">
      <c r="A645">
        <v>2023</v>
      </c>
      <c r="B645" t="s">
        <v>5</v>
      </c>
      <c r="C645">
        <v>75</v>
      </c>
      <c r="D645">
        <v>2</v>
      </c>
    </row>
    <row r="646" spans="1:4" x14ac:dyDescent="0.3">
      <c r="A646">
        <v>2023</v>
      </c>
      <c r="B646" t="s">
        <v>5</v>
      </c>
      <c r="C646">
        <v>80</v>
      </c>
      <c r="D646">
        <v>0</v>
      </c>
    </row>
    <row r="647" spans="1:4" x14ac:dyDescent="0.3">
      <c r="A647">
        <v>2023</v>
      </c>
      <c r="B647" t="s">
        <v>5</v>
      </c>
      <c r="C647">
        <v>85</v>
      </c>
      <c r="D647">
        <v>2</v>
      </c>
    </row>
    <row r="648" spans="1:4" x14ac:dyDescent="0.3">
      <c r="A648">
        <v>2024</v>
      </c>
      <c r="B648" t="s">
        <v>5</v>
      </c>
      <c r="C648">
        <v>0</v>
      </c>
      <c r="D648">
        <v>0</v>
      </c>
    </row>
    <row r="649" spans="1:4" x14ac:dyDescent="0.3">
      <c r="A649">
        <v>2024</v>
      </c>
      <c r="B649" t="s">
        <v>5</v>
      </c>
      <c r="C649">
        <v>1</v>
      </c>
      <c r="D649">
        <v>0</v>
      </c>
    </row>
    <row r="650" spans="1:4" x14ac:dyDescent="0.3">
      <c r="A650">
        <v>2024</v>
      </c>
      <c r="B650" t="s">
        <v>5</v>
      </c>
      <c r="C650">
        <v>5</v>
      </c>
      <c r="D650">
        <v>2</v>
      </c>
    </row>
    <row r="651" spans="1:4" x14ac:dyDescent="0.3">
      <c r="A651">
        <v>2024</v>
      </c>
      <c r="B651" t="s">
        <v>5</v>
      </c>
      <c r="C651">
        <v>10</v>
      </c>
      <c r="D651">
        <v>0</v>
      </c>
    </row>
    <row r="652" spans="1:4" x14ac:dyDescent="0.3">
      <c r="A652">
        <v>2024</v>
      </c>
      <c r="B652" t="s">
        <v>5</v>
      </c>
      <c r="C652">
        <v>15</v>
      </c>
      <c r="D652">
        <v>0</v>
      </c>
    </row>
    <row r="653" spans="1:4" x14ac:dyDescent="0.3">
      <c r="A653">
        <v>2024</v>
      </c>
      <c r="B653" t="s">
        <v>5</v>
      </c>
      <c r="C653">
        <v>20</v>
      </c>
      <c r="D653">
        <v>0</v>
      </c>
    </row>
    <row r="654" spans="1:4" x14ac:dyDescent="0.3">
      <c r="A654">
        <v>2024</v>
      </c>
      <c r="B654" t="s">
        <v>5</v>
      </c>
      <c r="C654">
        <v>25</v>
      </c>
      <c r="D654">
        <v>0</v>
      </c>
    </row>
    <row r="655" spans="1:4" x14ac:dyDescent="0.3">
      <c r="A655">
        <v>2024</v>
      </c>
      <c r="B655" t="s">
        <v>5</v>
      </c>
      <c r="C655">
        <v>30</v>
      </c>
      <c r="D655">
        <v>0</v>
      </c>
    </row>
    <row r="656" spans="1:4" x14ac:dyDescent="0.3">
      <c r="A656">
        <v>2024</v>
      </c>
      <c r="B656" t="s">
        <v>5</v>
      </c>
      <c r="C656">
        <v>35</v>
      </c>
      <c r="D656">
        <v>6</v>
      </c>
    </row>
    <row r="657" spans="1:4" x14ac:dyDescent="0.3">
      <c r="A657">
        <v>2024</v>
      </c>
      <c r="B657" t="s">
        <v>5</v>
      </c>
      <c r="C657">
        <v>40</v>
      </c>
      <c r="D657">
        <v>0</v>
      </c>
    </row>
    <row r="658" spans="1:4" x14ac:dyDescent="0.3">
      <c r="A658">
        <v>2024</v>
      </c>
      <c r="B658" t="s">
        <v>5</v>
      </c>
      <c r="C658">
        <v>45</v>
      </c>
      <c r="D658">
        <v>4</v>
      </c>
    </row>
    <row r="659" spans="1:4" x14ac:dyDescent="0.3">
      <c r="A659">
        <v>2024</v>
      </c>
      <c r="B659" t="s">
        <v>5</v>
      </c>
      <c r="C659">
        <v>50</v>
      </c>
      <c r="D659">
        <v>4</v>
      </c>
    </row>
    <row r="660" spans="1:4" x14ac:dyDescent="0.3">
      <c r="A660">
        <v>2024</v>
      </c>
      <c r="B660" t="s">
        <v>5</v>
      </c>
      <c r="C660">
        <v>55</v>
      </c>
      <c r="D660">
        <v>2</v>
      </c>
    </row>
    <row r="661" spans="1:4" x14ac:dyDescent="0.3">
      <c r="A661">
        <v>2024</v>
      </c>
      <c r="B661" t="s">
        <v>5</v>
      </c>
      <c r="C661">
        <v>60</v>
      </c>
      <c r="D661">
        <v>0</v>
      </c>
    </row>
    <row r="662" spans="1:4" x14ac:dyDescent="0.3">
      <c r="A662">
        <v>2024</v>
      </c>
      <c r="B662" t="s">
        <v>5</v>
      </c>
      <c r="C662">
        <v>65</v>
      </c>
      <c r="D662">
        <v>4</v>
      </c>
    </row>
    <row r="663" spans="1:4" x14ac:dyDescent="0.3">
      <c r="A663">
        <v>2024</v>
      </c>
      <c r="B663" t="s">
        <v>5</v>
      </c>
      <c r="C663">
        <v>70</v>
      </c>
      <c r="D663">
        <v>0</v>
      </c>
    </row>
    <row r="664" spans="1:4" x14ac:dyDescent="0.3">
      <c r="A664">
        <v>2024</v>
      </c>
      <c r="B664" t="s">
        <v>5</v>
      </c>
      <c r="C664">
        <v>75</v>
      </c>
      <c r="D664">
        <v>2</v>
      </c>
    </row>
    <row r="665" spans="1:4" x14ac:dyDescent="0.3">
      <c r="A665">
        <v>2024</v>
      </c>
      <c r="B665" t="s">
        <v>5</v>
      </c>
      <c r="C665">
        <v>80</v>
      </c>
      <c r="D665">
        <v>0</v>
      </c>
    </row>
    <row r="666" spans="1:4" x14ac:dyDescent="0.3">
      <c r="A666">
        <v>2024</v>
      </c>
      <c r="B666" t="s">
        <v>5</v>
      </c>
      <c r="C666">
        <v>85</v>
      </c>
      <c r="D666">
        <v>2</v>
      </c>
    </row>
    <row r="667" spans="1:4" x14ac:dyDescent="0.3">
      <c r="A667">
        <v>1990</v>
      </c>
      <c r="B667" t="s">
        <v>4</v>
      </c>
      <c r="C667">
        <v>0</v>
      </c>
      <c r="D667">
        <v>0</v>
      </c>
    </row>
    <row r="668" spans="1:4" x14ac:dyDescent="0.3">
      <c r="A668">
        <v>1990</v>
      </c>
      <c r="B668" t="s">
        <v>4</v>
      </c>
      <c r="C668">
        <v>1</v>
      </c>
      <c r="D668">
        <v>0</v>
      </c>
    </row>
    <row r="669" spans="1:4" x14ac:dyDescent="0.3">
      <c r="A669">
        <v>1990</v>
      </c>
      <c r="B669" t="s">
        <v>4</v>
      </c>
      <c r="C669">
        <v>5</v>
      </c>
      <c r="D669">
        <v>2</v>
      </c>
    </row>
    <row r="670" spans="1:4" x14ac:dyDescent="0.3">
      <c r="A670">
        <v>1990</v>
      </c>
      <c r="B670" t="s">
        <v>4</v>
      </c>
      <c r="C670">
        <v>10</v>
      </c>
      <c r="D670">
        <v>0</v>
      </c>
    </row>
    <row r="671" spans="1:4" x14ac:dyDescent="0.3">
      <c r="A671">
        <v>1990</v>
      </c>
      <c r="B671" t="s">
        <v>4</v>
      </c>
      <c r="C671">
        <v>15</v>
      </c>
      <c r="D671">
        <v>14</v>
      </c>
    </row>
    <row r="672" spans="1:4" x14ac:dyDescent="0.3">
      <c r="A672">
        <v>1990</v>
      </c>
      <c r="B672" t="s">
        <v>4</v>
      </c>
      <c r="C672">
        <v>20</v>
      </c>
      <c r="D672">
        <v>18</v>
      </c>
    </row>
    <row r="673" spans="1:4" x14ac:dyDescent="0.3">
      <c r="A673">
        <v>1990</v>
      </c>
      <c r="B673" t="s">
        <v>4</v>
      </c>
      <c r="C673">
        <v>25</v>
      </c>
      <c r="D673">
        <v>14</v>
      </c>
    </row>
    <row r="674" spans="1:4" x14ac:dyDescent="0.3">
      <c r="A674">
        <v>1990</v>
      </c>
      <c r="B674" t="s">
        <v>4</v>
      </c>
      <c r="C674">
        <v>30</v>
      </c>
      <c r="D674">
        <v>10</v>
      </c>
    </row>
    <row r="675" spans="1:4" x14ac:dyDescent="0.3">
      <c r="A675">
        <v>1990</v>
      </c>
      <c r="B675" t="s">
        <v>4</v>
      </c>
      <c r="C675">
        <v>35</v>
      </c>
      <c r="D675">
        <v>6</v>
      </c>
    </row>
    <row r="676" spans="1:4" x14ac:dyDescent="0.3">
      <c r="A676">
        <v>1990</v>
      </c>
      <c r="B676" t="s">
        <v>4</v>
      </c>
      <c r="C676">
        <v>40</v>
      </c>
      <c r="D676">
        <v>10</v>
      </c>
    </row>
    <row r="677" spans="1:4" x14ac:dyDescent="0.3">
      <c r="A677">
        <v>1990</v>
      </c>
      <c r="B677" t="s">
        <v>4</v>
      </c>
      <c r="C677">
        <v>45</v>
      </c>
      <c r="D677">
        <v>8</v>
      </c>
    </row>
    <row r="678" spans="1:4" x14ac:dyDescent="0.3">
      <c r="A678">
        <v>1990</v>
      </c>
      <c r="B678" t="s">
        <v>4</v>
      </c>
      <c r="C678">
        <v>50</v>
      </c>
      <c r="D678">
        <v>0</v>
      </c>
    </row>
    <row r="679" spans="1:4" x14ac:dyDescent="0.3">
      <c r="A679">
        <v>1990</v>
      </c>
      <c r="B679" t="s">
        <v>4</v>
      </c>
      <c r="C679">
        <v>55</v>
      </c>
      <c r="D679">
        <v>8</v>
      </c>
    </row>
    <row r="680" spans="1:4" x14ac:dyDescent="0.3">
      <c r="A680">
        <v>1990</v>
      </c>
      <c r="B680" t="s">
        <v>4</v>
      </c>
      <c r="C680">
        <v>60</v>
      </c>
      <c r="D680">
        <v>2</v>
      </c>
    </row>
    <row r="681" spans="1:4" x14ac:dyDescent="0.3">
      <c r="A681">
        <v>1990</v>
      </c>
      <c r="B681" t="s">
        <v>4</v>
      </c>
      <c r="C681">
        <v>65</v>
      </c>
      <c r="D681">
        <v>6</v>
      </c>
    </row>
    <row r="682" spans="1:4" x14ac:dyDescent="0.3">
      <c r="A682">
        <v>1990</v>
      </c>
      <c r="B682" t="s">
        <v>4</v>
      </c>
      <c r="C682">
        <v>70</v>
      </c>
      <c r="D682">
        <v>2</v>
      </c>
    </row>
    <row r="683" spans="1:4" x14ac:dyDescent="0.3">
      <c r="A683">
        <v>1990</v>
      </c>
      <c r="B683" t="s">
        <v>4</v>
      </c>
      <c r="C683">
        <v>75</v>
      </c>
      <c r="D683">
        <v>0</v>
      </c>
    </row>
    <row r="684" spans="1:4" x14ac:dyDescent="0.3">
      <c r="A684">
        <v>1990</v>
      </c>
      <c r="B684" t="s">
        <v>4</v>
      </c>
      <c r="C684">
        <v>80</v>
      </c>
      <c r="D684">
        <v>0</v>
      </c>
    </row>
    <row r="685" spans="1:4" x14ac:dyDescent="0.3">
      <c r="A685">
        <v>1990</v>
      </c>
      <c r="B685" t="s">
        <v>4</v>
      </c>
      <c r="C685">
        <v>85</v>
      </c>
      <c r="D685">
        <v>0</v>
      </c>
    </row>
    <row r="686" spans="1:4" x14ac:dyDescent="0.3">
      <c r="A686">
        <v>1991</v>
      </c>
      <c r="B686" t="s">
        <v>4</v>
      </c>
      <c r="C686">
        <v>0</v>
      </c>
      <c r="D686">
        <v>0</v>
      </c>
    </row>
    <row r="687" spans="1:4" x14ac:dyDescent="0.3">
      <c r="A687">
        <v>1991</v>
      </c>
      <c r="B687" t="s">
        <v>4</v>
      </c>
      <c r="C687">
        <v>1</v>
      </c>
      <c r="D687">
        <v>0</v>
      </c>
    </row>
    <row r="688" spans="1:4" x14ac:dyDescent="0.3">
      <c r="A688">
        <v>1991</v>
      </c>
      <c r="B688" t="s">
        <v>4</v>
      </c>
      <c r="C688">
        <v>5</v>
      </c>
      <c r="D688">
        <v>0</v>
      </c>
    </row>
    <row r="689" spans="1:4" x14ac:dyDescent="0.3">
      <c r="A689">
        <v>1991</v>
      </c>
      <c r="B689" t="s">
        <v>4</v>
      </c>
      <c r="C689">
        <v>10</v>
      </c>
      <c r="D689">
        <v>4</v>
      </c>
    </row>
    <row r="690" spans="1:4" x14ac:dyDescent="0.3">
      <c r="A690">
        <v>1991</v>
      </c>
      <c r="B690" t="s">
        <v>4</v>
      </c>
      <c r="C690">
        <v>15</v>
      </c>
      <c r="D690">
        <v>18</v>
      </c>
    </row>
    <row r="691" spans="1:4" x14ac:dyDescent="0.3">
      <c r="A691">
        <v>1991</v>
      </c>
      <c r="B691" t="s">
        <v>4</v>
      </c>
      <c r="C691">
        <v>20</v>
      </c>
      <c r="D691">
        <v>10</v>
      </c>
    </row>
    <row r="692" spans="1:4" x14ac:dyDescent="0.3">
      <c r="A692">
        <v>1991</v>
      </c>
      <c r="B692" t="s">
        <v>4</v>
      </c>
      <c r="C692">
        <v>25</v>
      </c>
      <c r="D692">
        <v>20</v>
      </c>
    </row>
    <row r="693" spans="1:4" x14ac:dyDescent="0.3">
      <c r="A693">
        <v>1991</v>
      </c>
      <c r="B693" t="s">
        <v>4</v>
      </c>
      <c r="C693">
        <v>30</v>
      </c>
      <c r="D693">
        <v>14</v>
      </c>
    </row>
    <row r="694" spans="1:4" x14ac:dyDescent="0.3">
      <c r="A694">
        <v>1991</v>
      </c>
      <c r="B694" t="s">
        <v>4</v>
      </c>
      <c r="C694">
        <v>35</v>
      </c>
      <c r="D694">
        <v>16</v>
      </c>
    </row>
    <row r="695" spans="1:4" x14ac:dyDescent="0.3">
      <c r="A695">
        <v>1991</v>
      </c>
      <c r="B695" t="s">
        <v>4</v>
      </c>
      <c r="C695">
        <v>40</v>
      </c>
      <c r="D695">
        <v>8</v>
      </c>
    </row>
    <row r="696" spans="1:4" x14ac:dyDescent="0.3">
      <c r="A696">
        <v>1991</v>
      </c>
      <c r="B696" t="s">
        <v>4</v>
      </c>
      <c r="C696">
        <v>45</v>
      </c>
      <c r="D696">
        <v>6</v>
      </c>
    </row>
    <row r="697" spans="1:4" x14ac:dyDescent="0.3">
      <c r="A697">
        <v>1991</v>
      </c>
      <c r="B697" t="s">
        <v>4</v>
      </c>
      <c r="C697">
        <v>50</v>
      </c>
      <c r="D697">
        <v>0</v>
      </c>
    </row>
    <row r="698" spans="1:4" x14ac:dyDescent="0.3">
      <c r="A698">
        <v>1991</v>
      </c>
      <c r="B698" t="s">
        <v>4</v>
      </c>
      <c r="C698">
        <v>55</v>
      </c>
      <c r="D698">
        <v>6</v>
      </c>
    </row>
    <row r="699" spans="1:4" x14ac:dyDescent="0.3">
      <c r="A699">
        <v>1991</v>
      </c>
      <c r="B699" t="s">
        <v>4</v>
      </c>
      <c r="C699">
        <v>60</v>
      </c>
      <c r="D699">
        <v>0</v>
      </c>
    </row>
    <row r="700" spans="1:4" x14ac:dyDescent="0.3">
      <c r="A700">
        <v>1991</v>
      </c>
      <c r="B700" t="s">
        <v>4</v>
      </c>
      <c r="C700">
        <v>65</v>
      </c>
      <c r="D700">
        <v>8</v>
      </c>
    </row>
    <row r="701" spans="1:4" x14ac:dyDescent="0.3">
      <c r="A701">
        <v>1991</v>
      </c>
      <c r="B701" t="s">
        <v>4</v>
      </c>
      <c r="C701">
        <v>70</v>
      </c>
      <c r="D701">
        <v>2</v>
      </c>
    </row>
    <row r="702" spans="1:4" x14ac:dyDescent="0.3">
      <c r="A702">
        <v>1991</v>
      </c>
      <c r="B702" t="s">
        <v>4</v>
      </c>
      <c r="C702">
        <v>75</v>
      </c>
      <c r="D702">
        <v>2</v>
      </c>
    </row>
    <row r="703" spans="1:4" x14ac:dyDescent="0.3">
      <c r="A703">
        <v>1991</v>
      </c>
      <c r="B703" t="s">
        <v>4</v>
      </c>
      <c r="C703">
        <v>80</v>
      </c>
      <c r="D703">
        <v>0</v>
      </c>
    </row>
    <row r="704" spans="1:4" x14ac:dyDescent="0.3">
      <c r="A704">
        <v>1991</v>
      </c>
      <c r="B704" t="s">
        <v>4</v>
      </c>
      <c r="C704">
        <v>85</v>
      </c>
      <c r="D704">
        <v>0</v>
      </c>
    </row>
    <row r="705" spans="1:4" x14ac:dyDescent="0.3">
      <c r="A705">
        <v>1992</v>
      </c>
      <c r="B705" t="s">
        <v>4</v>
      </c>
      <c r="C705">
        <v>0</v>
      </c>
      <c r="D705">
        <v>0</v>
      </c>
    </row>
    <row r="706" spans="1:4" x14ac:dyDescent="0.3">
      <c r="A706">
        <v>1992</v>
      </c>
      <c r="B706" t="s">
        <v>4</v>
      </c>
      <c r="C706">
        <v>1</v>
      </c>
      <c r="D706">
        <v>0</v>
      </c>
    </row>
    <row r="707" spans="1:4" x14ac:dyDescent="0.3">
      <c r="A707">
        <v>1992</v>
      </c>
      <c r="B707" t="s">
        <v>4</v>
      </c>
      <c r="C707">
        <v>5</v>
      </c>
      <c r="D707">
        <v>4</v>
      </c>
    </row>
    <row r="708" spans="1:4" x14ac:dyDescent="0.3">
      <c r="A708">
        <v>1992</v>
      </c>
      <c r="B708" t="s">
        <v>4</v>
      </c>
      <c r="C708">
        <v>10</v>
      </c>
      <c r="D708">
        <v>0</v>
      </c>
    </row>
    <row r="709" spans="1:4" x14ac:dyDescent="0.3">
      <c r="A709">
        <v>1992</v>
      </c>
      <c r="B709" t="s">
        <v>4</v>
      </c>
      <c r="C709">
        <v>15</v>
      </c>
      <c r="D709">
        <v>12</v>
      </c>
    </row>
    <row r="710" spans="1:4" x14ac:dyDescent="0.3">
      <c r="A710">
        <v>1992</v>
      </c>
      <c r="B710" t="s">
        <v>4</v>
      </c>
      <c r="C710">
        <v>20</v>
      </c>
      <c r="D710">
        <v>10</v>
      </c>
    </row>
    <row r="711" spans="1:4" x14ac:dyDescent="0.3">
      <c r="A711">
        <v>1992</v>
      </c>
      <c r="B711" t="s">
        <v>4</v>
      </c>
      <c r="C711">
        <v>25</v>
      </c>
      <c r="D711">
        <v>18</v>
      </c>
    </row>
    <row r="712" spans="1:4" x14ac:dyDescent="0.3">
      <c r="A712">
        <v>1992</v>
      </c>
      <c r="B712" t="s">
        <v>4</v>
      </c>
      <c r="C712">
        <v>30</v>
      </c>
      <c r="D712">
        <v>2</v>
      </c>
    </row>
    <row r="713" spans="1:4" x14ac:dyDescent="0.3">
      <c r="A713">
        <v>1992</v>
      </c>
      <c r="B713" t="s">
        <v>4</v>
      </c>
      <c r="C713">
        <v>35</v>
      </c>
      <c r="D713">
        <v>6</v>
      </c>
    </row>
    <row r="714" spans="1:4" x14ac:dyDescent="0.3">
      <c r="A714">
        <v>1992</v>
      </c>
      <c r="B714" t="s">
        <v>4</v>
      </c>
      <c r="C714">
        <v>40</v>
      </c>
      <c r="D714">
        <v>8</v>
      </c>
    </row>
    <row r="715" spans="1:4" x14ac:dyDescent="0.3">
      <c r="A715">
        <v>1992</v>
      </c>
      <c r="B715" t="s">
        <v>4</v>
      </c>
      <c r="C715">
        <v>45</v>
      </c>
      <c r="D715">
        <v>4</v>
      </c>
    </row>
    <row r="716" spans="1:4" x14ac:dyDescent="0.3">
      <c r="A716">
        <v>1992</v>
      </c>
      <c r="B716" t="s">
        <v>4</v>
      </c>
      <c r="C716">
        <v>50</v>
      </c>
      <c r="D716">
        <v>2</v>
      </c>
    </row>
    <row r="717" spans="1:4" x14ac:dyDescent="0.3">
      <c r="A717">
        <v>1992</v>
      </c>
      <c r="B717" t="s">
        <v>4</v>
      </c>
      <c r="C717">
        <v>55</v>
      </c>
      <c r="D717">
        <v>2</v>
      </c>
    </row>
    <row r="718" spans="1:4" x14ac:dyDescent="0.3">
      <c r="A718">
        <v>1992</v>
      </c>
      <c r="B718" t="s">
        <v>4</v>
      </c>
      <c r="C718">
        <v>60</v>
      </c>
      <c r="D718">
        <v>2</v>
      </c>
    </row>
    <row r="719" spans="1:4" x14ac:dyDescent="0.3">
      <c r="A719">
        <v>1992</v>
      </c>
      <c r="B719" t="s">
        <v>4</v>
      </c>
      <c r="C719">
        <v>65</v>
      </c>
      <c r="D719">
        <v>2</v>
      </c>
    </row>
    <row r="720" spans="1:4" x14ac:dyDescent="0.3">
      <c r="A720">
        <v>1992</v>
      </c>
      <c r="B720" t="s">
        <v>4</v>
      </c>
      <c r="C720">
        <v>70</v>
      </c>
      <c r="D720">
        <v>2</v>
      </c>
    </row>
    <row r="721" spans="1:4" x14ac:dyDescent="0.3">
      <c r="A721">
        <v>1992</v>
      </c>
      <c r="B721" t="s">
        <v>4</v>
      </c>
      <c r="C721">
        <v>75</v>
      </c>
      <c r="D721">
        <v>0</v>
      </c>
    </row>
    <row r="722" spans="1:4" x14ac:dyDescent="0.3">
      <c r="A722">
        <v>1992</v>
      </c>
      <c r="B722" t="s">
        <v>4</v>
      </c>
      <c r="C722">
        <v>80</v>
      </c>
      <c r="D722">
        <v>0</v>
      </c>
    </row>
    <row r="723" spans="1:4" x14ac:dyDescent="0.3">
      <c r="A723">
        <v>1992</v>
      </c>
      <c r="B723" t="s">
        <v>4</v>
      </c>
      <c r="C723">
        <v>85</v>
      </c>
      <c r="D723">
        <v>0</v>
      </c>
    </row>
    <row r="724" spans="1:4" x14ac:dyDescent="0.3">
      <c r="A724">
        <v>1993</v>
      </c>
      <c r="B724" t="s">
        <v>4</v>
      </c>
      <c r="C724">
        <v>0</v>
      </c>
      <c r="D724">
        <v>2</v>
      </c>
    </row>
    <row r="725" spans="1:4" x14ac:dyDescent="0.3">
      <c r="A725">
        <v>1993</v>
      </c>
      <c r="B725" t="s">
        <v>4</v>
      </c>
      <c r="C725">
        <v>1</v>
      </c>
      <c r="D725">
        <v>0</v>
      </c>
    </row>
    <row r="726" spans="1:4" x14ac:dyDescent="0.3">
      <c r="A726">
        <v>1993</v>
      </c>
      <c r="B726" t="s">
        <v>4</v>
      </c>
      <c r="C726">
        <v>5</v>
      </c>
      <c r="D726">
        <v>0</v>
      </c>
    </row>
    <row r="727" spans="1:4" x14ac:dyDescent="0.3">
      <c r="A727">
        <v>1993</v>
      </c>
      <c r="B727" t="s">
        <v>4</v>
      </c>
      <c r="C727">
        <v>10</v>
      </c>
      <c r="D727">
        <v>2</v>
      </c>
    </row>
    <row r="728" spans="1:4" x14ac:dyDescent="0.3">
      <c r="A728">
        <v>1993</v>
      </c>
      <c r="B728" t="s">
        <v>4</v>
      </c>
      <c r="C728">
        <v>15</v>
      </c>
      <c r="D728">
        <v>10</v>
      </c>
    </row>
    <row r="729" spans="1:4" x14ac:dyDescent="0.3">
      <c r="A729">
        <v>1993</v>
      </c>
      <c r="B729" t="s">
        <v>4</v>
      </c>
      <c r="C729">
        <v>20</v>
      </c>
      <c r="D729">
        <v>20</v>
      </c>
    </row>
    <row r="730" spans="1:4" x14ac:dyDescent="0.3">
      <c r="A730">
        <v>1993</v>
      </c>
      <c r="B730" t="s">
        <v>4</v>
      </c>
      <c r="C730">
        <v>25</v>
      </c>
      <c r="D730">
        <v>22</v>
      </c>
    </row>
    <row r="731" spans="1:4" x14ac:dyDescent="0.3">
      <c r="A731">
        <v>1993</v>
      </c>
      <c r="B731" t="s">
        <v>4</v>
      </c>
      <c r="C731">
        <v>30</v>
      </c>
      <c r="D731">
        <v>10</v>
      </c>
    </row>
    <row r="732" spans="1:4" x14ac:dyDescent="0.3">
      <c r="A732">
        <v>1993</v>
      </c>
      <c r="B732" t="s">
        <v>4</v>
      </c>
      <c r="C732">
        <v>35</v>
      </c>
      <c r="D732">
        <v>14</v>
      </c>
    </row>
    <row r="733" spans="1:4" x14ac:dyDescent="0.3">
      <c r="A733">
        <v>1993</v>
      </c>
      <c r="B733" t="s">
        <v>4</v>
      </c>
      <c r="C733">
        <v>40</v>
      </c>
      <c r="D733">
        <v>6</v>
      </c>
    </row>
    <row r="734" spans="1:4" x14ac:dyDescent="0.3">
      <c r="A734">
        <v>1993</v>
      </c>
      <c r="B734" t="s">
        <v>4</v>
      </c>
      <c r="C734">
        <v>45</v>
      </c>
      <c r="D734">
        <v>10</v>
      </c>
    </row>
    <row r="735" spans="1:4" x14ac:dyDescent="0.3">
      <c r="A735">
        <v>1993</v>
      </c>
      <c r="B735" t="s">
        <v>4</v>
      </c>
      <c r="C735">
        <v>50</v>
      </c>
      <c r="D735">
        <v>6</v>
      </c>
    </row>
    <row r="736" spans="1:4" x14ac:dyDescent="0.3">
      <c r="A736">
        <v>1993</v>
      </c>
      <c r="B736" t="s">
        <v>4</v>
      </c>
      <c r="C736">
        <v>55</v>
      </c>
      <c r="D736">
        <v>4</v>
      </c>
    </row>
    <row r="737" spans="1:4" x14ac:dyDescent="0.3">
      <c r="A737">
        <v>1993</v>
      </c>
      <c r="B737" t="s">
        <v>4</v>
      </c>
      <c r="C737">
        <v>60</v>
      </c>
      <c r="D737">
        <v>0</v>
      </c>
    </row>
    <row r="738" spans="1:4" x14ac:dyDescent="0.3">
      <c r="A738">
        <v>1993</v>
      </c>
      <c r="B738" t="s">
        <v>4</v>
      </c>
      <c r="C738">
        <v>65</v>
      </c>
      <c r="D738">
        <v>2</v>
      </c>
    </row>
    <row r="739" spans="1:4" x14ac:dyDescent="0.3">
      <c r="A739">
        <v>1993</v>
      </c>
      <c r="B739" t="s">
        <v>4</v>
      </c>
      <c r="C739">
        <v>70</v>
      </c>
      <c r="D739">
        <v>2</v>
      </c>
    </row>
    <row r="740" spans="1:4" x14ac:dyDescent="0.3">
      <c r="A740">
        <v>1993</v>
      </c>
      <c r="B740" t="s">
        <v>4</v>
      </c>
      <c r="C740">
        <v>75</v>
      </c>
      <c r="D740">
        <v>4</v>
      </c>
    </row>
    <row r="741" spans="1:4" x14ac:dyDescent="0.3">
      <c r="A741">
        <v>1993</v>
      </c>
      <c r="B741" t="s">
        <v>4</v>
      </c>
      <c r="C741">
        <v>80</v>
      </c>
      <c r="D741">
        <v>0</v>
      </c>
    </row>
    <row r="742" spans="1:4" x14ac:dyDescent="0.3">
      <c r="A742">
        <v>1993</v>
      </c>
      <c r="B742" t="s">
        <v>4</v>
      </c>
      <c r="C742">
        <v>85</v>
      </c>
      <c r="D742">
        <v>2</v>
      </c>
    </row>
    <row r="743" spans="1:4" x14ac:dyDescent="0.3">
      <c r="A743">
        <v>1994</v>
      </c>
      <c r="B743" t="s">
        <v>4</v>
      </c>
      <c r="C743">
        <v>0</v>
      </c>
      <c r="D743">
        <v>0</v>
      </c>
    </row>
    <row r="744" spans="1:4" x14ac:dyDescent="0.3">
      <c r="A744">
        <v>1994</v>
      </c>
      <c r="B744" t="s">
        <v>4</v>
      </c>
      <c r="C744">
        <v>1</v>
      </c>
      <c r="D744">
        <v>0</v>
      </c>
    </row>
    <row r="745" spans="1:4" x14ac:dyDescent="0.3">
      <c r="A745">
        <v>1994</v>
      </c>
      <c r="B745" t="s">
        <v>4</v>
      </c>
      <c r="C745">
        <v>5</v>
      </c>
      <c r="D745">
        <v>0</v>
      </c>
    </row>
    <row r="746" spans="1:4" x14ac:dyDescent="0.3">
      <c r="A746">
        <v>1994</v>
      </c>
      <c r="B746" t="s">
        <v>4</v>
      </c>
      <c r="C746">
        <v>10</v>
      </c>
      <c r="D746">
        <v>2</v>
      </c>
    </row>
    <row r="747" spans="1:4" x14ac:dyDescent="0.3">
      <c r="A747">
        <v>1994</v>
      </c>
      <c r="B747" t="s">
        <v>4</v>
      </c>
      <c r="C747">
        <v>15</v>
      </c>
      <c r="D747">
        <v>14</v>
      </c>
    </row>
    <row r="748" spans="1:4" x14ac:dyDescent="0.3">
      <c r="A748">
        <v>1994</v>
      </c>
      <c r="B748" t="s">
        <v>4</v>
      </c>
      <c r="C748">
        <v>20</v>
      </c>
      <c r="D748">
        <v>14</v>
      </c>
    </row>
    <row r="749" spans="1:4" x14ac:dyDescent="0.3">
      <c r="A749">
        <v>1994</v>
      </c>
      <c r="B749" t="s">
        <v>4</v>
      </c>
      <c r="C749">
        <v>25</v>
      </c>
      <c r="D749">
        <v>4</v>
      </c>
    </row>
    <row r="750" spans="1:4" x14ac:dyDescent="0.3">
      <c r="A750">
        <v>1994</v>
      </c>
      <c r="B750" t="s">
        <v>4</v>
      </c>
      <c r="C750">
        <v>30</v>
      </c>
      <c r="D750">
        <v>8</v>
      </c>
    </row>
    <row r="751" spans="1:4" x14ac:dyDescent="0.3">
      <c r="A751">
        <v>1994</v>
      </c>
      <c r="B751" t="s">
        <v>4</v>
      </c>
      <c r="C751">
        <v>35</v>
      </c>
      <c r="D751">
        <v>14</v>
      </c>
    </row>
    <row r="752" spans="1:4" x14ac:dyDescent="0.3">
      <c r="A752">
        <v>1994</v>
      </c>
      <c r="B752" t="s">
        <v>4</v>
      </c>
      <c r="C752">
        <v>40</v>
      </c>
      <c r="D752">
        <v>12</v>
      </c>
    </row>
    <row r="753" spans="1:4" x14ac:dyDescent="0.3">
      <c r="A753">
        <v>1994</v>
      </c>
      <c r="B753" t="s">
        <v>4</v>
      </c>
      <c r="C753">
        <v>45</v>
      </c>
      <c r="D753">
        <v>2</v>
      </c>
    </row>
    <row r="754" spans="1:4" x14ac:dyDescent="0.3">
      <c r="A754">
        <v>1994</v>
      </c>
      <c r="B754" t="s">
        <v>4</v>
      </c>
      <c r="C754">
        <v>50</v>
      </c>
      <c r="D754">
        <v>2</v>
      </c>
    </row>
    <row r="755" spans="1:4" x14ac:dyDescent="0.3">
      <c r="A755">
        <v>1994</v>
      </c>
      <c r="B755" t="s">
        <v>4</v>
      </c>
      <c r="C755">
        <v>55</v>
      </c>
      <c r="D755">
        <v>6</v>
      </c>
    </row>
    <row r="756" spans="1:4" x14ac:dyDescent="0.3">
      <c r="A756">
        <v>1994</v>
      </c>
      <c r="B756" t="s">
        <v>4</v>
      </c>
      <c r="C756">
        <v>60</v>
      </c>
      <c r="D756">
        <v>0</v>
      </c>
    </row>
    <row r="757" spans="1:4" x14ac:dyDescent="0.3">
      <c r="A757">
        <v>1994</v>
      </c>
      <c r="B757" t="s">
        <v>4</v>
      </c>
      <c r="C757">
        <v>65</v>
      </c>
      <c r="D757">
        <v>10</v>
      </c>
    </row>
    <row r="758" spans="1:4" x14ac:dyDescent="0.3">
      <c r="A758">
        <v>1994</v>
      </c>
      <c r="B758" t="s">
        <v>4</v>
      </c>
      <c r="C758">
        <v>70</v>
      </c>
      <c r="D758">
        <v>0</v>
      </c>
    </row>
    <row r="759" spans="1:4" x14ac:dyDescent="0.3">
      <c r="A759">
        <v>1994</v>
      </c>
      <c r="B759" t="s">
        <v>4</v>
      </c>
      <c r="C759">
        <v>75</v>
      </c>
      <c r="D759">
        <v>0</v>
      </c>
    </row>
    <row r="760" spans="1:4" x14ac:dyDescent="0.3">
      <c r="A760">
        <v>1994</v>
      </c>
      <c r="B760" t="s">
        <v>4</v>
      </c>
      <c r="C760">
        <v>80</v>
      </c>
      <c r="D760">
        <v>0</v>
      </c>
    </row>
    <row r="761" spans="1:4" x14ac:dyDescent="0.3">
      <c r="A761">
        <v>1994</v>
      </c>
      <c r="B761" t="s">
        <v>4</v>
      </c>
      <c r="C761">
        <v>85</v>
      </c>
      <c r="D761">
        <v>0</v>
      </c>
    </row>
    <row r="762" spans="1:4" x14ac:dyDescent="0.3">
      <c r="A762">
        <v>1995</v>
      </c>
      <c r="B762" t="s">
        <v>4</v>
      </c>
      <c r="C762">
        <v>0</v>
      </c>
      <c r="D762">
        <v>0</v>
      </c>
    </row>
    <row r="763" spans="1:4" x14ac:dyDescent="0.3">
      <c r="A763">
        <v>1995</v>
      </c>
      <c r="B763" t="s">
        <v>4</v>
      </c>
      <c r="C763">
        <v>1</v>
      </c>
      <c r="D763">
        <v>0</v>
      </c>
    </row>
    <row r="764" spans="1:4" x14ac:dyDescent="0.3">
      <c r="A764">
        <v>1995</v>
      </c>
      <c r="B764" t="s">
        <v>4</v>
      </c>
      <c r="C764">
        <v>5</v>
      </c>
      <c r="D764">
        <v>0</v>
      </c>
    </row>
    <row r="765" spans="1:4" x14ac:dyDescent="0.3">
      <c r="A765">
        <v>1995</v>
      </c>
      <c r="B765" t="s">
        <v>4</v>
      </c>
      <c r="C765">
        <v>10</v>
      </c>
      <c r="D765">
        <v>0</v>
      </c>
    </row>
    <row r="766" spans="1:4" x14ac:dyDescent="0.3">
      <c r="A766">
        <v>1995</v>
      </c>
      <c r="B766" t="s">
        <v>4</v>
      </c>
      <c r="C766">
        <v>15</v>
      </c>
      <c r="D766">
        <v>2</v>
      </c>
    </row>
    <row r="767" spans="1:4" x14ac:dyDescent="0.3">
      <c r="A767">
        <v>1995</v>
      </c>
      <c r="B767" t="s">
        <v>4</v>
      </c>
      <c r="C767">
        <v>20</v>
      </c>
      <c r="D767">
        <v>12</v>
      </c>
    </row>
    <row r="768" spans="1:4" x14ac:dyDescent="0.3">
      <c r="A768">
        <v>1995</v>
      </c>
      <c r="B768" t="s">
        <v>4</v>
      </c>
      <c r="C768">
        <v>25</v>
      </c>
      <c r="D768">
        <v>16</v>
      </c>
    </row>
    <row r="769" spans="1:4" x14ac:dyDescent="0.3">
      <c r="A769">
        <v>1995</v>
      </c>
      <c r="B769" t="s">
        <v>4</v>
      </c>
      <c r="C769">
        <v>30</v>
      </c>
      <c r="D769">
        <v>14</v>
      </c>
    </row>
    <row r="770" spans="1:4" x14ac:dyDescent="0.3">
      <c r="A770">
        <v>1995</v>
      </c>
      <c r="B770" t="s">
        <v>4</v>
      </c>
      <c r="C770">
        <v>35</v>
      </c>
      <c r="D770">
        <v>16</v>
      </c>
    </row>
    <row r="771" spans="1:4" x14ac:dyDescent="0.3">
      <c r="A771">
        <v>1995</v>
      </c>
      <c r="B771" t="s">
        <v>4</v>
      </c>
      <c r="C771">
        <v>40</v>
      </c>
      <c r="D771">
        <v>0</v>
      </c>
    </row>
    <row r="772" spans="1:4" x14ac:dyDescent="0.3">
      <c r="A772">
        <v>1995</v>
      </c>
      <c r="B772" t="s">
        <v>4</v>
      </c>
      <c r="C772">
        <v>45</v>
      </c>
      <c r="D772">
        <v>4</v>
      </c>
    </row>
    <row r="773" spans="1:4" x14ac:dyDescent="0.3">
      <c r="A773">
        <v>1995</v>
      </c>
      <c r="B773" t="s">
        <v>4</v>
      </c>
      <c r="C773">
        <v>50</v>
      </c>
      <c r="D773">
        <v>6</v>
      </c>
    </row>
    <row r="774" spans="1:4" x14ac:dyDescent="0.3">
      <c r="A774">
        <v>1995</v>
      </c>
      <c r="B774" t="s">
        <v>4</v>
      </c>
      <c r="C774">
        <v>55</v>
      </c>
      <c r="D774">
        <v>2</v>
      </c>
    </row>
    <row r="775" spans="1:4" x14ac:dyDescent="0.3">
      <c r="A775">
        <v>1995</v>
      </c>
      <c r="B775" t="s">
        <v>4</v>
      </c>
      <c r="C775">
        <v>60</v>
      </c>
      <c r="D775">
        <v>4</v>
      </c>
    </row>
    <row r="776" spans="1:4" x14ac:dyDescent="0.3">
      <c r="A776">
        <v>1995</v>
      </c>
      <c r="B776" t="s">
        <v>4</v>
      </c>
      <c r="C776">
        <v>65</v>
      </c>
      <c r="D776">
        <v>6</v>
      </c>
    </row>
    <row r="777" spans="1:4" x14ac:dyDescent="0.3">
      <c r="A777">
        <v>1995</v>
      </c>
      <c r="B777" t="s">
        <v>4</v>
      </c>
      <c r="C777">
        <v>70</v>
      </c>
      <c r="D777">
        <v>2</v>
      </c>
    </row>
    <row r="778" spans="1:4" x14ac:dyDescent="0.3">
      <c r="A778">
        <v>1995</v>
      </c>
      <c r="B778" t="s">
        <v>4</v>
      </c>
      <c r="C778">
        <v>75</v>
      </c>
      <c r="D778">
        <v>0</v>
      </c>
    </row>
    <row r="779" spans="1:4" x14ac:dyDescent="0.3">
      <c r="A779">
        <v>1995</v>
      </c>
      <c r="B779" t="s">
        <v>4</v>
      </c>
      <c r="C779">
        <v>80</v>
      </c>
      <c r="D779">
        <v>2</v>
      </c>
    </row>
    <row r="780" spans="1:4" x14ac:dyDescent="0.3">
      <c r="A780">
        <v>1995</v>
      </c>
      <c r="B780" t="s">
        <v>4</v>
      </c>
      <c r="C780">
        <v>85</v>
      </c>
      <c r="D780">
        <v>2</v>
      </c>
    </row>
    <row r="781" spans="1:4" x14ac:dyDescent="0.3">
      <c r="A781">
        <v>1996</v>
      </c>
      <c r="B781" t="s">
        <v>4</v>
      </c>
      <c r="C781">
        <v>0</v>
      </c>
      <c r="D781">
        <v>0</v>
      </c>
    </row>
    <row r="782" spans="1:4" x14ac:dyDescent="0.3">
      <c r="A782">
        <v>1996</v>
      </c>
      <c r="B782" t="s">
        <v>4</v>
      </c>
      <c r="C782">
        <v>1</v>
      </c>
      <c r="D782">
        <v>0</v>
      </c>
    </row>
    <row r="783" spans="1:4" x14ac:dyDescent="0.3">
      <c r="A783">
        <v>1996</v>
      </c>
      <c r="B783" t="s">
        <v>4</v>
      </c>
      <c r="C783">
        <v>5</v>
      </c>
      <c r="D783">
        <v>0</v>
      </c>
    </row>
    <row r="784" spans="1:4" x14ac:dyDescent="0.3">
      <c r="A784">
        <v>1996</v>
      </c>
      <c r="B784" t="s">
        <v>4</v>
      </c>
      <c r="C784">
        <v>10</v>
      </c>
      <c r="D784">
        <v>0</v>
      </c>
    </row>
    <row r="785" spans="1:4" x14ac:dyDescent="0.3">
      <c r="A785">
        <v>1996</v>
      </c>
      <c r="B785" t="s">
        <v>4</v>
      </c>
      <c r="C785">
        <v>15</v>
      </c>
      <c r="D785">
        <v>4</v>
      </c>
    </row>
    <row r="786" spans="1:4" x14ac:dyDescent="0.3">
      <c r="A786">
        <v>1996</v>
      </c>
      <c r="B786" t="s">
        <v>4</v>
      </c>
      <c r="C786">
        <v>20</v>
      </c>
      <c r="D786">
        <v>14</v>
      </c>
    </row>
    <row r="787" spans="1:4" x14ac:dyDescent="0.3">
      <c r="A787">
        <v>1996</v>
      </c>
      <c r="B787" t="s">
        <v>4</v>
      </c>
      <c r="C787">
        <v>25</v>
      </c>
      <c r="D787">
        <v>14</v>
      </c>
    </row>
    <row r="788" spans="1:4" x14ac:dyDescent="0.3">
      <c r="A788">
        <v>1996</v>
      </c>
      <c r="B788" t="s">
        <v>4</v>
      </c>
      <c r="C788">
        <v>30</v>
      </c>
      <c r="D788">
        <v>8</v>
      </c>
    </row>
    <row r="789" spans="1:4" x14ac:dyDescent="0.3">
      <c r="A789">
        <v>1996</v>
      </c>
      <c r="B789" t="s">
        <v>4</v>
      </c>
      <c r="C789">
        <v>35</v>
      </c>
      <c r="D789">
        <v>6</v>
      </c>
    </row>
    <row r="790" spans="1:4" x14ac:dyDescent="0.3">
      <c r="A790">
        <v>1996</v>
      </c>
      <c r="B790" t="s">
        <v>4</v>
      </c>
      <c r="C790">
        <v>40</v>
      </c>
      <c r="D790">
        <v>14</v>
      </c>
    </row>
    <row r="791" spans="1:4" x14ac:dyDescent="0.3">
      <c r="A791">
        <v>1996</v>
      </c>
      <c r="B791" t="s">
        <v>4</v>
      </c>
      <c r="C791">
        <v>45</v>
      </c>
      <c r="D791">
        <v>6</v>
      </c>
    </row>
    <row r="792" spans="1:4" x14ac:dyDescent="0.3">
      <c r="A792">
        <v>1996</v>
      </c>
      <c r="B792" t="s">
        <v>4</v>
      </c>
      <c r="C792">
        <v>50</v>
      </c>
      <c r="D792">
        <v>6</v>
      </c>
    </row>
    <row r="793" spans="1:4" x14ac:dyDescent="0.3">
      <c r="A793">
        <v>1996</v>
      </c>
      <c r="B793" t="s">
        <v>4</v>
      </c>
      <c r="C793">
        <v>55</v>
      </c>
      <c r="D793">
        <v>0</v>
      </c>
    </row>
    <row r="794" spans="1:4" x14ac:dyDescent="0.3">
      <c r="A794">
        <v>1996</v>
      </c>
      <c r="B794" t="s">
        <v>4</v>
      </c>
      <c r="C794">
        <v>60</v>
      </c>
      <c r="D794">
        <v>4</v>
      </c>
    </row>
    <row r="795" spans="1:4" x14ac:dyDescent="0.3">
      <c r="A795">
        <v>1996</v>
      </c>
      <c r="B795" t="s">
        <v>4</v>
      </c>
      <c r="C795">
        <v>65</v>
      </c>
      <c r="D795">
        <v>2</v>
      </c>
    </row>
    <row r="796" spans="1:4" x14ac:dyDescent="0.3">
      <c r="A796">
        <v>1996</v>
      </c>
      <c r="B796" t="s">
        <v>4</v>
      </c>
      <c r="C796">
        <v>70</v>
      </c>
      <c r="D796">
        <v>0</v>
      </c>
    </row>
    <row r="797" spans="1:4" x14ac:dyDescent="0.3">
      <c r="A797">
        <v>1996</v>
      </c>
      <c r="B797" t="s">
        <v>4</v>
      </c>
      <c r="C797">
        <v>75</v>
      </c>
      <c r="D797">
        <v>0</v>
      </c>
    </row>
    <row r="798" spans="1:4" x14ac:dyDescent="0.3">
      <c r="A798">
        <v>1996</v>
      </c>
      <c r="B798" t="s">
        <v>4</v>
      </c>
      <c r="C798">
        <v>80</v>
      </c>
      <c r="D798">
        <v>0</v>
      </c>
    </row>
    <row r="799" spans="1:4" x14ac:dyDescent="0.3">
      <c r="A799">
        <v>1996</v>
      </c>
      <c r="B799" t="s">
        <v>4</v>
      </c>
      <c r="C799">
        <v>85</v>
      </c>
      <c r="D799">
        <v>0</v>
      </c>
    </row>
    <row r="800" spans="1:4" x14ac:dyDescent="0.3">
      <c r="A800">
        <v>1997</v>
      </c>
      <c r="B800" t="s">
        <v>4</v>
      </c>
      <c r="C800">
        <v>0</v>
      </c>
      <c r="D800">
        <v>0</v>
      </c>
    </row>
    <row r="801" spans="1:4" x14ac:dyDescent="0.3">
      <c r="A801">
        <v>1997</v>
      </c>
      <c r="B801" t="s">
        <v>4</v>
      </c>
      <c r="C801">
        <v>1</v>
      </c>
      <c r="D801">
        <v>0</v>
      </c>
    </row>
    <row r="802" spans="1:4" x14ac:dyDescent="0.3">
      <c r="A802">
        <v>1997</v>
      </c>
      <c r="B802" t="s">
        <v>4</v>
      </c>
      <c r="C802">
        <v>5</v>
      </c>
      <c r="D802">
        <v>0</v>
      </c>
    </row>
    <row r="803" spans="1:4" x14ac:dyDescent="0.3">
      <c r="A803">
        <v>1997</v>
      </c>
      <c r="B803" t="s">
        <v>4</v>
      </c>
      <c r="C803">
        <v>10</v>
      </c>
      <c r="D803">
        <v>4</v>
      </c>
    </row>
    <row r="804" spans="1:4" x14ac:dyDescent="0.3">
      <c r="A804">
        <v>1997</v>
      </c>
      <c r="B804" t="s">
        <v>4</v>
      </c>
      <c r="C804">
        <v>15</v>
      </c>
      <c r="D804">
        <v>6</v>
      </c>
    </row>
    <row r="805" spans="1:4" x14ac:dyDescent="0.3">
      <c r="A805">
        <v>1997</v>
      </c>
      <c r="B805" t="s">
        <v>4</v>
      </c>
      <c r="C805">
        <v>20</v>
      </c>
      <c r="D805">
        <v>10</v>
      </c>
    </row>
    <row r="806" spans="1:4" x14ac:dyDescent="0.3">
      <c r="A806">
        <v>1997</v>
      </c>
      <c r="B806" t="s">
        <v>4</v>
      </c>
      <c r="C806">
        <v>25</v>
      </c>
      <c r="D806">
        <v>8</v>
      </c>
    </row>
    <row r="807" spans="1:4" x14ac:dyDescent="0.3">
      <c r="A807">
        <v>1997</v>
      </c>
      <c r="B807" t="s">
        <v>4</v>
      </c>
      <c r="C807">
        <v>30</v>
      </c>
      <c r="D807">
        <v>12</v>
      </c>
    </row>
    <row r="808" spans="1:4" x14ac:dyDescent="0.3">
      <c r="A808">
        <v>1997</v>
      </c>
      <c r="B808" t="s">
        <v>4</v>
      </c>
      <c r="C808">
        <v>35</v>
      </c>
      <c r="D808">
        <v>12</v>
      </c>
    </row>
    <row r="809" spans="1:4" x14ac:dyDescent="0.3">
      <c r="A809">
        <v>1997</v>
      </c>
      <c r="B809" t="s">
        <v>4</v>
      </c>
      <c r="C809">
        <v>40</v>
      </c>
      <c r="D809">
        <v>4</v>
      </c>
    </row>
    <row r="810" spans="1:4" x14ac:dyDescent="0.3">
      <c r="A810">
        <v>1997</v>
      </c>
      <c r="B810" t="s">
        <v>4</v>
      </c>
      <c r="C810">
        <v>45</v>
      </c>
      <c r="D810">
        <v>8</v>
      </c>
    </row>
    <row r="811" spans="1:4" x14ac:dyDescent="0.3">
      <c r="A811">
        <v>1997</v>
      </c>
      <c r="B811" t="s">
        <v>4</v>
      </c>
      <c r="C811">
        <v>50</v>
      </c>
      <c r="D811">
        <v>2</v>
      </c>
    </row>
    <row r="812" spans="1:4" x14ac:dyDescent="0.3">
      <c r="A812">
        <v>1997</v>
      </c>
      <c r="B812" t="s">
        <v>4</v>
      </c>
      <c r="C812">
        <v>55</v>
      </c>
      <c r="D812">
        <v>4</v>
      </c>
    </row>
    <row r="813" spans="1:4" x14ac:dyDescent="0.3">
      <c r="A813">
        <v>1997</v>
      </c>
      <c r="B813" t="s">
        <v>4</v>
      </c>
      <c r="C813">
        <v>60</v>
      </c>
      <c r="D813">
        <v>0</v>
      </c>
    </row>
    <row r="814" spans="1:4" x14ac:dyDescent="0.3">
      <c r="A814">
        <v>1997</v>
      </c>
      <c r="B814" t="s">
        <v>4</v>
      </c>
      <c r="C814">
        <v>65</v>
      </c>
      <c r="D814">
        <v>4</v>
      </c>
    </row>
    <row r="815" spans="1:4" x14ac:dyDescent="0.3">
      <c r="A815">
        <v>1997</v>
      </c>
      <c r="B815" t="s">
        <v>4</v>
      </c>
      <c r="C815">
        <v>70</v>
      </c>
      <c r="D815">
        <v>4</v>
      </c>
    </row>
    <row r="816" spans="1:4" x14ac:dyDescent="0.3">
      <c r="A816">
        <v>1997</v>
      </c>
      <c r="B816" t="s">
        <v>4</v>
      </c>
      <c r="C816">
        <v>75</v>
      </c>
      <c r="D816">
        <v>2</v>
      </c>
    </row>
    <row r="817" spans="1:4" x14ac:dyDescent="0.3">
      <c r="A817">
        <v>1997</v>
      </c>
      <c r="B817" t="s">
        <v>4</v>
      </c>
      <c r="C817">
        <v>80</v>
      </c>
      <c r="D817">
        <v>0</v>
      </c>
    </row>
    <row r="818" spans="1:4" x14ac:dyDescent="0.3">
      <c r="A818">
        <v>1997</v>
      </c>
      <c r="B818" t="s">
        <v>4</v>
      </c>
      <c r="C818">
        <v>85</v>
      </c>
      <c r="D818">
        <v>0</v>
      </c>
    </row>
    <row r="819" spans="1:4" x14ac:dyDescent="0.3">
      <c r="A819">
        <v>1998</v>
      </c>
      <c r="B819" t="s">
        <v>4</v>
      </c>
      <c r="C819">
        <v>0</v>
      </c>
      <c r="D819">
        <v>0</v>
      </c>
    </row>
    <row r="820" spans="1:4" x14ac:dyDescent="0.3">
      <c r="A820">
        <v>1998</v>
      </c>
      <c r="B820" t="s">
        <v>4</v>
      </c>
      <c r="C820">
        <v>1</v>
      </c>
      <c r="D820">
        <v>0</v>
      </c>
    </row>
    <row r="821" spans="1:4" x14ac:dyDescent="0.3">
      <c r="A821">
        <v>1998</v>
      </c>
      <c r="B821" t="s">
        <v>4</v>
      </c>
      <c r="C821">
        <v>5</v>
      </c>
      <c r="D821">
        <v>0</v>
      </c>
    </row>
    <row r="822" spans="1:4" x14ac:dyDescent="0.3">
      <c r="A822">
        <v>1998</v>
      </c>
      <c r="B822" t="s">
        <v>4</v>
      </c>
      <c r="C822">
        <v>10</v>
      </c>
      <c r="D822">
        <v>4</v>
      </c>
    </row>
    <row r="823" spans="1:4" x14ac:dyDescent="0.3">
      <c r="A823">
        <v>1998</v>
      </c>
      <c r="B823" t="s">
        <v>4</v>
      </c>
      <c r="C823">
        <v>15</v>
      </c>
      <c r="D823">
        <v>8</v>
      </c>
    </row>
    <row r="824" spans="1:4" x14ac:dyDescent="0.3">
      <c r="A824">
        <v>1998</v>
      </c>
      <c r="B824" t="s">
        <v>4</v>
      </c>
      <c r="C824">
        <v>20</v>
      </c>
      <c r="D824">
        <v>6</v>
      </c>
    </row>
    <row r="825" spans="1:4" x14ac:dyDescent="0.3">
      <c r="A825">
        <v>1998</v>
      </c>
      <c r="B825" t="s">
        <v>4</v>
      </c>
      <c r="C825">
        <v>25</v>
      </c>
      <c r="D825">
        <v>2</v>
      </c>
    </row>
    <row r="826" spans="1:4" x14ac:dyDescent="0.3">
      <c r="A826">
        <v>1998</v>
      </c>
      <c r="B826" t="s">
        <v>4</v>
      </c>
      <c r="C826">
        <v>30</v>
      </c>
      <c r="D826">
        <v>4</v>
      </c>
    </row>
    <row r="827" spans="1:4" x14ac:dyDescent="0.3">
      <c r="A827">
        <v>1998</v>
      </c>
      <c r="B827" t="s">
        <v>4</v>
      </c>
      <c r="C827">
        <v>35</v>
      </c>
      <c r="D827">
        <v>14</v>
      </c>
    </row>
    <row r="828" spans="1:4" x14ac:dyDescent="0.3">
      <c r="A828">
        <v>1998</v>
      </c>
      <c r="B828" t="s">
        <v>4</v>
      </c>
      <c r="C828">
        <v>40</v>
      </c>
      <c r="D828">
        <v>4</v>
      </c>
    </row>
    <row r="829" spans="1:4" x14ac:dyDescent="0.3">
      <c r="A829">
        <v>1998</v>
      </c>
      <c r="B829" t="s">
        <v>4</v>
      </c>
      <c r="C829">
        <v>45</v>
      </c>
      <c r="D829">
        <v>8</v>
      </c>
    </row>
    <row r="830" spans="1:4" x14ac:dyDescent="0.3">
      <c r="A830">
        <v>1998</v>
      </c>
      <c r="B830" t="s">
        <v>4</v>
      </c>
      <c r="C830">
        <v>50</v>
      </c>
      <c r="D830">
        <v>6</v>
      </c>
    </row>
    <row r="831" spans="1:4" x14ac:dyDescent="0.3">
      <c r="A831">
        <v>1998</v>
      </c>
      <c r="B831" t="s">
        <v>4</v>
      </c>
      <c r="C831">
        <v>55</v>
      </c>
      <c r="D831">
        <v>4</v>
      </c>
    </row>
    <row r="832" spans="1:4" x14ac:dyDescent="0.3">
      <c r="A832">
        <v>1998</v>
      </c>
      <c r="B832" t="s">
        <v>4</v>
      </c>
      <c r="C832">
        <v>60</v>
      </c>
      <c r="D832">
        <v>0</v>
      </c>
    </row>
    <row r="833" spans="1:4" x14ac:dyDescent="0.3">
      <c r="A833">
        <v>1998</v>
      </c>
      <c r="B833" t="s">
        <v>4</v>
      </c>
      <c r="C833">
        <v>65</v>
      </c>
      <c r="D833">
        <v>4</v>
      </c>
    </row>
    <row r="834" spans="1:4" x14ac:dyDescent="0.3">
      <c r="A834">
        <v>1998</v>
      </c>
      <c r="B834" t="s">
        <v>4</v>
      </c>
      <c r="C834">
        <v>70</v>
      </c>
      <c r="D834">
        <v>2</v>
      </c>
    </row>
    <row r="835" spans="1:4" x14ac:dyDescent="0.3">
      <c r="A835">
        <v>1998</v>
      </c>
      <c r="B835" t="s">
        <v>4</v>
      </c>
      <c r="C835">
        <v>75</v>
      </c>
      <c r="D835">
        <v>0</v>
      </c>
    </row>
    <row r="836" spans="1:4" x14ac:dyDescent="0.3">
      <c r="A836">
        <v>1998</v>
      </c>
      <c r="B836" t="s">
        <v>4</v>
      </c>
      <c r="C836">
        <v>80</v>
      </c>
      <c r="D836">
        <v>0</v>
      </c>
    </row>
    <row r="837" spans="1:4" x14ac:dyDescent="0.3">
      <c r="A837">
        <v>1998</v>
      </c>
      <c r="B837" t="s">
        <v>4</v>
      </c>
      <c r="C837">
        <v>85</v>
      </c>
      <c r="D837">
        <v>2</v>
      </c>
    </row>
    <row r="838" spans="1:4" x14ac:dyDescent="0.3">
      <c r="A838">
        <v>1999</v>
      </c>
      <c r="B838" t="s">
        <v>4</v>
      </c>
      <c r="C838">
        <v>0</v>
      </c>
      <c r="D838">
        <v>0</v>
      </c>
    </row>
    <row r="839" spans="1:4" x14ac:dyDescent="0.3">
      <c r="A839">
        <v>1999</v>
      </c>
      <c r="B839" t="s">
        <v>4</v>
      </c>
      <c r="C839">
        <v>1</v>
      </c>
      <c r="D839">
        <v>0</v>
      </c>
    </row>
    <row r="840" spans="1:4" x14ac:dyDescent="0.3">
      <c r="A840">
        <v>1999</v>
      </c>
      <c r="B840" t="s">
        <v>4</v>
      </c>
      <c r="C840">
        <v>5</v>
      </c>
      <c r="D840">
        <v>4</v>
      </c>
    </row>
    <row r="841" spans="1:4" x14ac:dyDescent="0.3">
      <c r="A841">
        <v>1999</v>
      </c>
      <c r="B841" t="s">
        <v>4</v>
      </c>
      <c r="C841">
        <v>10</v>
      </c>
      <c r="D841">
        <v>0</v>
      </c>
    </row>
    <row r="842" spans="1:4" x14ac:dyDescent="0.3">
      <c r="A842">
        <v>1999</v>
      </c>
      <c r="B842" t="s">
        <v>4</v>
      </c>
      <c r="C842">
        <v>15</v>
      </c>
      <c r="D842">
        <v>2</v>
      </c>
    </row>
    <row r="843" spans="1:4" x14ac:dyDescent="0.3">
      <c r="A843">
        <v>1999</v>
      </c>
      <c r="B843" t="s">
        <v>4</v>
      </c>
      <c r="C843">
        <v>20</v>
      </c>
      <c r="D843">
        <v>8</v>
      </c>
    </row>
    <row r="844" spans="1:4" x14ac:dyDescent="0.3">
      <c r="A844">
        <v>1999</v>
      </c>
      <c r="B844" t="s">
        <v>4</v>
      </c>
      <c r="C844">
        <v>25</v>
      </c>
      <c r="D844">
        <v>4</v>
      </c>
    </row>
    <row r="845" spans="1:4" x14ac:dyDescent="0.3">
      <c r="A845">
        <v>1999</v>
      </c>
      <c r="B845" t="s">
        <v>4</v>
      </c>
      <c r="C845">
        <v>30</v>
      </c>
      <c r="D845">
        <v>4</v>
      </c>
    </row>
    <row r="846" spans="1:4" x14ac:dyDescent="0.3">
      <c r="A846">
        <v>1999</v>
      </c>
      <c r="B846" t="s">
        <v>4</v>
      </c>
      <c r="C846">
        <v>35</v>
      </c>
      <c r="D846">
        <v>4</v>
      </c>
    </row>
    <row r="847" spans="1:4" x14ac:dyDescent="0.3">
      <c r="A847">
        <v>1999</v>
      </c>
      <c r="B847" t="s">
        <v>4</v>
      </c>
      <c r="C847">
        <v>40</v>
      </c>
      <c r="D847">
        <v>2</v>
      </c>
    </row>
    <row r="848" spans="1:4" x14ac:dyDescent="0.3">
      <c r="A848">
        <v>1999</v>
      </c>
      <c r="B848" t="s">
        <v>4</v>
      </c>
      <c r="C848">
        <v>45</v>
      </c>
      <c r="D848">
        <v>0</v>
      </c>
    </row>
    <row r="849" spans="1:4" x14ac:dyDescent="0.3">
      <c r="A849">
        <v>1999</v>
      </c>
      <c r="B849" t="s">
        <v>4</v>
      </c>
      <c r="C849">
        <v>50</v>
      </c>
      <c r="D849">
        <v>0</v>
      </c>
    </row>
    <row r="850" spans="1:4" x14ac:dyDescent="0.3">
      <c r="A850">
        <v>1999</v>
      </c>
      <c r="B850" t="s">
        <v>4</v>
      </c>
      <c r="C850">
        <v>55</v>
      </c>
      <c r="D850">
        <v>6</v>
      </c>
    </row>
    <row r="851" spans="1:4" x14ac:dyDescent="0.3">
      <c r="A851">
        <v>1999</v>
      </c>
      <c r="B851" t="s">
        <v>4</v>
      </c>
      <c r="C851">
        <v>60</v>
      </c>
      <c r="D851">
        <v>0</v>
      </c>
    </row>
    <row r="852" spans="1:4" x14ac:dyDescent="0.3">
      <c r="A852">
        <v>1999</v>
      </c>
      <c r="B852" t="s">
        <v>4</v>
      </c>
      <c r="C852">
        <v>65</v>
      </c>
      <c r="D852">
        <v>2</v>
      </c>
    </row>
    <row r="853" spans="1:4" x14ac:dyDescent="0.3">
      <c r="A853">
        <v>1999</v>
      </c>
      <c r="B853" t="s">
        <v>4</v>
      </c>
      <c r="C853">
        <v>70</v>
      </c>
      <c r="D853">
        <v>4</v>
      </c>
    </row>
    <row r="854" spans="1:4" x14ac:dyDescent="0.3">
      <c r="A854">
        <v>1999</v>
      </c>
      <c r="B854" t="s">
        <v>4</v>
      </c>
      <c r="C854">
        <v>75</v>
      </c>
      <c r="D854">
        <v>0</v>
      </c>
    </row>
    <row r="855" spans="1:4" x14ac:dyDescent="0.3">
      <c r="A855">
        <v>1999</v>
      </c>
      <c r="B855" t="s">
        <v>4</v>
      </c>
      <c r="C855">
        <v>80</v>
      </c>
      <c r="D855">
        <v>4</v>
      </c>
    </row>
    <row r="856" spans="1:4" x14ac:dyDescent="0.3">
      <c r="A856">
        <v>1999</v>
      </c>
      <c r="B856" t="s">
        <v>4</v>
      </c>
      <c r="C856">
        <v>85</v>
      </c>
      <c r="D856">
        <v>4</v>
      </c>
    </row>
    <row r="857" spans="1:4" x14ac:dyDescent="0.3">
      <c r="A857">
        <v>2000</v>
      </c>
      <c r="B857" t="s">
        <v>4</v>
      </c>
      <c r="C857">
        <v>0</v>
      </c>
      <c r="D857">
        <v>0</v>
      </c>
    </row>
    <row r="858" spans="1:4" x14ac:dyDescent="0.3">
      <c r="A858">
        <v>2000</v>
      </c>
      <c r="B858" t="s">
        <v>4</v>
      </c>
      <c r="C858">
        <v>1</v>
      </c>
      <c r="D858">
        <v>0</v>
      </c>
    </row>
    <row r="859" spans="1:4" x14ac:dyDescent="0.3">
      <c r="A859">
        <v>2000</v>
      </c>
      <c r="B859" t="s">
        <v>4</v>
      </c>
      <c r="C859">
        <v>5</v>
      </c>
      <c r="D859">
        <v>0</v>
      </c>
    </row>
    <row r="860" spans="1:4" x14ac:dyDescent="0.3">
      <c r="A860">
        <v>2000</v>
      </c>
      <c r="B860" t="s">
        <v>4</v>
      </c>
      <c r="C860">
        <v>10</v>
      </c>
      <c r="D860">
        <v>2</v>
      </c>
    </row>
    <row r="861" spans="1:4" x14ac:dyDescent="0.3">
      <c r="A861">
        <v>2000</v>
      </c>
      <c r="B861" t="s">
        <v>4</v>
      </c>
      <c r="C861">
        <v>15</v>
      </c>
      <c r="D861">
        <v>6</v>
      </c>
    </row>
    <row r="862" spans="1:4" x14ac:dyDescent="0.3">
      <c r="A862">
        <v>2000</v>
      </c>
      <c r="B862" t="s">
        <v>4</v>
      </c>
      <c r="C862">
        <v>20</v>
      </c>
      <c r="D862">
        <v>10</v>
      </c>
    </row>
    <row r="863" spans="1:4" x14ac:dyDescent="0.3">
      <c r="A863">
        <v>2000</v>
      </c>
      <c r="B863" t="s">
        <v>4</v>
      </c>
      <c r="C863">
        <v>25</v>
      </c>
      <c r="D863">
        <v>4</v>
      </c>
    </row>
    <row r="864" spans="1:4" x14ac:dyDescent="0.3">
      <c r="A864">
        <v>2000</v>
      </c>
      <c r="B864" t="s">
        <v>4</v>
      </c>
      <c r="C864">
        <v>30</v>
      </c>
      <c r="D864">
        <v>8</v>
      </c>
    </row>
    <row r="865" spans="1:4" x14ac:dyDescent="0.3">
      <c r="A865">
        <v>2000</v>
      </c>
      <c r="B865" t="s">
        <v>4</v>
      </c>
      <c r="C865">
        <v>35</v>
      </c>
      <c r="D865">
        <v>2</v>
      </c>
    </row>
    <row r="866" spans="1:4" x14ac:dyDescent="0.3">
      <c r="A866">
        <v>2000</v>
      </c>
      <c r="B866" t="s">
        <v>4</v>
      </c>
      <c r="C866">
        <v>40</v>
      </c>
      <c r="D866">
        <v>6</v>
      </c>
    </row>
    <row r="867" spans="1:4" x14ac:dyDescent="0.3">
      <c r="A867">
        <v>2000</v>
      </c>
      <c r="B867" t="s">
        <v>4</v>
      </c>
      <c r="C867">
        <v>45</v>
      </c>
      <c r="D867">
        <v>4</v>
      </c>
    </row>
    <row r="868" spans="1:4" x14ac:dyDescent="0.3">
      <c r="A868">
        <v>2000</v>
      </c>
      <c r="B868" t="s">
        <v>4</v>
      </c>
      <c r="C868">
        <v>50</v>
      </c>
      <c r="D868">
        <v>6</v>
      </c>
    </row>
    <row r="869" spans="1:4" x14ac:dyDescent="0.3">
      <c r="A869">
        <v>2000</v>
      </c>
      <c r="B869" t="s">
        <v>4</v>
      </c>
      <c r="C869">
        <v>55</v>
      </c>
      <c r="D869">
        <v>2</v>
      </c>
    </row>
    <row r="870" spans="1:4" x14ac:dyDescent="0.3">
      <c r="A870">
        <v>2000</v>
      </c>
      <c r="B870" t="s">
        <v>4</v>
      </c>
      <c r="C870">
        <v>60</v>
      </c>
      <c r="D870">
        <v>2</v>
      </c>
    </row>
    <row r="871" spans="1:4" x14ac:dyDescent="0.3">
      <c r="A871">
        <v>2000</v>
      </c>
      <c r="B871" t="s">
        <v>4</v>
      </c>
      <c r="C871">
        <v>65</v>
      </c>
      <c r="D871">
        <v>0</v>
      </c>
    </row>
    <row r="872" spans="1:4" x14ac:dyDescent="0.3">
      <c r="A872">
        <v>2000</v>
      </c>
      <c r="B872" t="s">
        <v>4</v>
      </c>
      <c r="C872">
        <v>70</v>
      </c>
      <c r="D872">
        <v>2</v>
      </c>
    </row>
    <row r="873" spans="1:4" x14ac:dyDescent="0.3">
      <c r="A873">
        <v>2000</v>
      </c>
      <c r="B873" t="s">
        <v>4</v>
      </c>
      <c r="C873">
        <v>75</v>
      </c>
      <c r="D873">
        <v>0</v>
      </c>
    </row>
    <row r="874" spans="1:4" x14ac:dyDescent="0.3">
      <c r="A874">
        <v>2000</v>
      </c>
      <c r="B874" t="s">
        <v>4</v>
      </c>
      <c r="C874">
        <v>80</v>
      </c>
      <c r="D874">
        <v>0</v>
      </c>
    </row>
    <row r="875" spans="1:4" x14ac:dyDescent="0.3">
      <c r="A875">
        <v>2000</v>
      </c>
      <c r="B875" t="s">
        <v>4</v>
      </c>
      <c r="C875">
        <v>85</v>
      </c>
      <c r="D875">
        <v>2</v>
      </c>
    </row>
    <row r="876" spans="1:4" x14ac:dyDescent="0.3">
      <c r="A876">
        <v>2001</v>
      </c>
      <c r="B876" t="s">
        <v>4</v>
      </c>
      <c r="C876">
        <v>0</v>
      </c>
      <c r="D876">
        <v>0</v>
      </c>
    </row>
    <row r="877" spans="1:4" x14ac:dyDescent="0.3">
      <c r="A877">
        <v>2001</v>
      </c>
      <c r="B877" t="s">
        <v>4</v>
      </c>
      <c r="C877">
        <v>1</v>
      </c>
      <c r="D877">
        <v>0</v>
      </c>
    </row>
    <row r="878" spans="1:4" x14ac:dyDescent="0.3">
      <c r="A878">
        <v>2001</v>
      </c>
      <c r="B878" t="s">
        <v>4</v>
      </c>
      <c r="C878">
        <v>5</v>
      </c>
      <c r="D878">
        <v>0</v>
      </c>
    </row>
    <row r="879" spans="1:4" x14ac:dyDescent="0.3">
      <c r="A879">
        <v>2001</v>
      </c>
      <c r="B879" t="s">
        <v>4</v>
      </c>
      <c r="C879">
        <v>10</v>
      </c>
      <c r="D879">
        <v>0</v>
      </c>
    </row>
    <row r="880" spans="1:4" x14ac:dyDescent="0.3">
      <c r="A880">
        <v>2001</v>
      </c>
      <c r="B880" t="s">
        <v>4</v>
      </c>
      <c r="C880">
        <v>15</v>
      </c>
      <c r="D880">
        <v>14</v>
      </c>
    </row>
    <row r="881" spans="1:4" x14ac:dyDescent="0.3">
      <c r="A881">
        <v>2001</v>
      </c>
      <c r="B881" t="s">
        <v>4</v>
      </c>
      <c r="C881">
        <v>20</v>
      </c>
      <c r="D881">
        <v>10</v>
      </c>
    </row>
    <row r="882" spans="1:4" x14ac:dyDescent="0.3">
      <c r="A882">
        <v>2001</v>
      </c>
      <c r="B882" t="s">
        <v>4</v>
      </c>
      <c r="C882">
        <v>25</v>
      </c>
      <c r="D882">
        <v>8</v>
      </c>
    </row>
    <row r="883" spans="1:4" x14ac:dyDescent="0.3">
      <c r="A883">
        <v>2001</v>
      </c>
      <c r="B883" t="s">
        <v>4</v>
      </c>
      <c r="C883">
        <v>30</v>
      </c>
      <c r="D883">
        <v>4</v>
      </c>
    </row>
    <row r="884" spans="1:4" x14ac:dyDescent="0.3">
      <c r="A884">
        <v>2001</v>
      </c>
      <c r="B884" t="s">
        <v>4</v>
      </c>
      <c r="C884">
        <v>35</v>
      </c>
      <c r="D884">
        <v>4</v>
      </c>
    </row>
    <row r="885" spans="1:4" x14ac:dyDescent="0.3">
      <c r="A885">
        <v>2001</v>
      </c>
      <c r="B885" t="s">
        <v>4</v>
      </c>
      <c r="C885">
        <v>40</v>
      </c>
      <c r="D885">
        <v>4</v>
      </c>
    </row>
    <row r="886" spans="1:4" x14ac:dyDescent="0.3">
      <c r="A886">
        <v>2001</v>
      </c>
      <c r="B886" t="s">
        <v>4</v>
      </c>
      <c r="C886">
        <v>45</v>
      </c>
      <c r="D886">
        <v>2</v>
      </c>
    </row>
    <row r="887" spans="1:4" x14ac:dyDescent="0.3">
      <c r="A887">
        <v>2001</v>
      </c>
      <c r="B887" t="s">
        <v>4</v>
      </c>
      <c r="C887">
        <v>50</v>
      </c>
      <c r="D887">
        <v>4</v>
      </c>
    </row>
    <row r="888" spans="1:4" x14ac:dyDescent="0.3">
      <c r="A888">
        <v>2001</v>
      </c>
      <c r="B888" t="s">
        <v>4</v>
      </c>
      <c r="C888">
        <v>55</v>
      </c>
      <c r="D888">
        <v>0</v>
      </c>
    </row>
    <row r="889" spans="1:4" x14ac:dyDescent="0.3">
      <c r="A889">
        <v>2001</v>
      </c>
      <c r="B889" t="s">
        <v>4</v>
      </c>
      <c r="C889">
        <v>60</v>
      </c>
      <c r="D889">
        <v>8</v>
      </c>
    </row>
    <row r="890" spans="1:4" x14ac:dyDescent="0.3">
      <c r="A890">
        <v>2001</v>
      </c>
      <c r="B890" t="s">
        <v>4</v>
      </c>
      <c r="C890">
        <v>65</v>
      </c>
      <c r="D890">
        <v>0</v>
      </c>
    </row>
    <row r="891" spans="1:4" x14ac:dyDescent="0.3">
      <c r="A891">
        <v>2001</v>
      </c>
      <c r="B891" t="s">
        <v>4</v>
      </c>
      <c r="C891">
        <v>70</v>
      </c>
      <c r="D891">
        <v>2</v>
      </c>
    </row>
    <row r="892" spans="1:4" x14ac:dyDescent="0.3">
      <c r="A892">
        <v>2001</v>
      </c>
      <c r="B892" t="s">
        <v>4</v>
      </c>
      <c r="C892">
        <v>75</v>
      </c>
      <c r="D892">
        <v>6</v>
      </c>
    </row>
    <row r="893" spans="1:4" x14ac:dyDescent="0.3">
      <c r="A893">
        <v>2001</v>
      </c>
      <c r="B893" t="s">
        <v>4</v>
      </c>
      <c r="C893">
        <v>80</v>
      </c>
      <c r="D893">
        <v>0</v>
      </c>
    </row>
    <row r="894" spans="1:4" x14ac:dyDescent="0.3">
      <c r="A894">
        <v>2001</v>
      </c>
      <c r="B894" t="s">
        <v>4</v>
      </c>
      <c r="C894">
        <v>85</v>
      </c>
      <c r="D894">
        <v>2</v>
      </c>
    </row>
    <row r="895" spans="1:4" x14ac:dyDescent="0.3">
      <c r="A895">
        <v>2002</v>
      </c>
      <c r="B895" t="s">
        <v>4</v>
      </c>
      <c r="C895">
        <v>0</v>
      </c>
      <c r="D895">
        <v>0</v>
      </c>
    </row>
    <row r="896" spans="1:4" x14ac:dyDescent="0.3">
      <c r="A896">
        <v>2002</v>
      </c>
      <c r="B896" t="s">
        <v>4</v>
      </c>
      <c r="C896">
        <v>1</v>
      </c>
      <c r="D896">
        <v>2</v>
      </c>
    </row>
    <row r="897" spans="1:4" x14ac:dyDescent="0.3">
      <c r="A897">
        <v>2002</v>
      </c>
      <c r="B897" t="s">
        <v>4</v>
      </c>
      <c r="C897">
        <v>5</v>
      </c>
      <c r="D897">
        <v>0</v>
      </c>
    </row>
    <row r="898" spans="1:4" x14ac:dyDescent="0.3">
      <c r="A898">
        <v>2002</v>
      </c>
      <c r="B898" t="s">
        <v>4</v>
      </c>
      <c r="C898">
        <v>10</v>
      </c>
      <c r="D898">
        <v>0</v>
      </c>
    </row>
    <row r="899" spans="1:4" x14ac:dyDescent="0.3">
      <c r="A899">
        <v>2002</v>
      </c>
      <c r="B899" t="s">
        <v>4</v>
      </c>
      <c r="C899">
        <v>15</v>
      </c>
      <c r="D899">
        <v>4</v>
      </c>
    </row>
    <row r="900" spans="1:4" x14ac:dyDescent="0.3">
      <c r="A900">
        <v>2002</v>
      </c>
      <c r="B900" t="s">
        <v>4</v>
      </c>
      <c r="C900">
        <v>20</v>
      </c>
      <c r="D900">
        <v>10</v>
      </c>
    </row>
    <row r="901" spans="1:4" x14ac:dyDescent="0.3">
      <c r="A901">
        <v>2002</v>
      </c>
      <c r="B901" t="s">
        <v>4</v>
      </c>
      <c r="C901">
        <v>25</v>
      </c>
      <c r="D901">
        <v>4</v>
      </c>
    </row>
    <row r="902" spans="1:4" x14ac:dyDescent="0.3">
      <c r="A902">
        <v>2002</v>
      </c>
      <c r="B902" t="s">
        <v>4</v>
      </c>
      <c r="C902">
        <v>30</v>
      </c>
      <c r="D902">
        <v>4</v>
      </c>
    </row>
    <row r="903" spans="1:4" x14ac:dyDescent="0.3">
      <c r="A903">
        <v>2002</v>
      </c>
      <c r="B903" t="s">
        <v>4</v>
      </c>
      <c r="C903">
        <v>35</v>
      </c>
      <c r="D903">
        <v>8</v>
      </c>
    </row>
    <row r="904" spans="1:4" x14ac:dyDescent="0.3">
      <c r="A904">
        <v>2002</v>
      </c>
      <c r="B904" t="s">
        <v>4</v>
      </c>
      <c r="C904">
        <v>40</v>
      </c>
      <c r="D904">
        <v>6</v>
      </c>
    </row>
    <row r="905" spans="1:4" x14ac:dyDescent="0.3">
      <c r="A905">
        <v>2002</v>
      </c>
      <c r="B905" t="s">
        <v>4</v>
      </c>
      <c r="C905">
        <v>45</v>
      </c>
      <c r="D905">
        <v>12</v>
      </c>
    </row>
    <row r="906" spans="1:4" x14ac:dyDescent="0.3">
      <c r="A906">
        <v>2002</v>
      </c>
      <c r="B906" t="s">
        <v>4</v>
      </c>
      <c r="C906">
        <v>50</v>
      </c>
      <c r="D906">
        <v>8</v>
      </c>
    </row>
    <row r="907" spans="1:4" x14ac:dyDescent="0.3">
      <c r="A907">
        <v>2002</v>
      </c>
      <c r="B907" t="s">
        <v>4</v>
      </c>
      <c r="C907">
        <v>55</v>
      </c>
      <c r="D907">
        <v>10</v>
      </c>
    </row>
    <row r="908" spans="1:4" x14ac:dyDescent="0.3">
      <c r="A908">
        <v>2002</v>
      </c>
      <c r="B908" t="s">
        <v>4</v>
      </c>
      <c r="C908">
        <v>60</v>
      </c>
      <c r="D908">
        <v>0</v>
      </c>
    </row>
    <row r="909" spans="1:4" x14ac:dyDescent="0.3">
      <c r="A909">
        <v>2002</v>
      </c>
      <c r="B909" t="s">
        <v>4</v>
      </c>
      <c r="C909">
        <v>65</v>
      </c>
      <c r="D909">
        <v>8</v>
      </c>
    </row>
    <row r="910" spans="1:4" x14ac:dyDescent="0.3">
      <c r="A910">
        <v>2002</v>
      </c>
      <c r="B910" t="s">
        <v>4</v>
      </c>
      <c r="C910">
        <v>70</v>
      </c>
      <c r="D910">
        <v>2</v>
      </c>
    </row>
    <row r="911" spans="1:4" x14ac:dyDescent="0.3">
      <c r="A911">
        <v>2002</v>
      </c>
      <c r="B911" t="s">
        <v>4</v>
      </c>
      <c r="C911">
        <v>75</v>
      </c>
      <c r="D911">
        <v>0</v>
      </c>
    </row>
    <row r="912" spans="1:4" x14ac:dyDescent="0.3">
      <c r="A912">
        <v>2002</v>
      </c>
      <c r="B912" t="s">
        <v>4</v>
      </c>
      <c r="C912">
        <v>80</v>
      </c>
      <c r="D912">
        <v>4</v>
      </c>
    </row>
    <row r="913" spans="1:4" x14ac:dyDescent="0.3">
      <c r="A913">
        <v>2002</v>
      </c>
      <c r="B913" t="s">
        <v>4</v>
      </c>
      <c r="C913">
        <v>85</v>
      </c>
      <c r="D913">
        <v>2</v>
      </c>
    </row>
    <row r="914" spans="1:4" x14ac:dyDescent="0.3">
      <c r="A914">
        <v>2003</v>
      </c>
      <c r="B914" t="s">
        <v>4</v>
      </c>
      <c r="C914">
        <v>0</v>
      </c>
      <c r="D914">
        <v>2</v>
      </c>
    </row>
    <row r="915" spans="1:4" x14ac:dyDescent="0.3">
      <c r="A915">
        <v>2003</v>
      </c>
      <c r="B915" t="s">
        <v>4</v>
      </c>
      <c r="C915">
        <v>1</v>
      </c>
      <c r="D915">
        <v>2</v>
      </c>
    </row>
    <row r="916" spans="1:4" x14ac:dyDescent="0.3">
      <c r="A916">
        <v>2003</v>
      </c>
      <c r="B916" t="s">
        <v>4</v>
      </c>
      <c r="C916">
        <v>5</v>
      </c>
      <c r="D916">
        <v>0</v>
      </c>
    </row>
    <row r="917" spans="1:4" x14ac:dyDescent="0.3">
      <c r="A917">
        <v>2003</v>
      </c>
      <c r="B917" t="s">
        <v>4</v>
      </c>
      <c r="C917">
        <v>10</v>
      </c>
      <c r="D917">
        <v>0</v>
      </c>
    </row>
    <row r="918" spans="1:4" x14ac:dyDescent="0.3">
      <c r="A918">
        <v>2003</v>
      </c>
      <c r="B918" t="s">
        <v>4</v>
      </c>
      <c r="C918">
        <v>15</v>
      </c>
      <c r="D918">
        <v>12</v>
      </c>
    </row>
    <row r="919" spans="1:4" x14ac:dyDescent="0.3">
      <c r="A919">
        <v>2003</v>
      </c>
      <c r="B919" t="s">
        <v>4</v>
      </c>
      <c r="C919">
        <v>20</v>
      </c>
      <c r="D919">
        <v>10</v>
      </c>
    </row>
    <row r="920" spans="1:4" x14ac:dyDescent="0.3">
      <c r="A920">
        <v>2003</v>
      </c>
      <c r="B920" t="s">
        <v>4</v>
      </c>
      <c r="C920">
        <v>25</v>
      </c>
      <c r="D920">
        <v>4</v>
      </c>
    </row>
    <row r="921" spans="1:4" x14ac:dyDescent="0.3">
      <c r="A921">
        <v>2003</v>
      </c>
      <c r="B921" t="s">
        <v>4</v>
      </c>
      <c r="C921">
        <v>30</v>
      </c>
      <c r="D921">
        <v>2</v>
      </c>
    </row>
    <row r="922" spans="1:4" x14ac:dyDescent="0.3">
      <c r="A922">
        <v>2003</v>
      </c>
      <c r="B922" t="s">
        <v>4</v>
      </c>
      <c r="C922">
        <v>35</v>
      </c>
      <c r="D922">
        <v>12</v>
      </c>
    </row>
    <row r="923" spans="1:4" x14ac:dyDescent="0.3">
      <c r="A923">
        <v>2003</v>
      </c>
      <c r="B923" t="s">
        <v>4</v>
      </c>
      <c r="C923">
        <v>40</v>
      </c>
      <c r="D923">
        <v>4</v>
      </c>
    </row>
    <row r="924" spans="1:4" x14ac:dyDescent="0.3">
      <c r="A924">
        <v>2003</v>
      </c>
      <c r="B924" t="s">
        <v>4</v>
      </c>
      <c r="C924">
        <v>45</v>
      </c>
      <c r="D924">
        <v>14</v>
      </c>
    </row>
    <row r="925" spans="1:4" x14ac:dyDescent="0.3">
      <c r="A925">
        <v>2003</v>
      </c>
      <c r="B925" t="s">
        <v>4</v>
      </c>
      <c r="C925">
        <v>50</v>
      </c>
      <c r="D925">
        <v>2</v>
      </c>
    </row>
    <row r="926" spans="1:4" x14ac:dyDescent="0.3">
      <c r="A926">
        <v>2003</v>
      </c>
      <c r="B926" t="s">
        <v>4</v>
      </c>
      <c r="C926">
        <v>55</v>
      </c>
      <c r="D926">
        <v>0</v>
      </c>
    </row>
    <row r="927" spans="1:4" x14ac:dyDescent="0.3">
      <c r="A927">
        <v>2003</v>
      </c>
      <c r="B927" t="s">
        <v>4</v>
      </c>
      <c r="C927">
        <v>60</v>
      </c>
      <c r="D927">
        <v>2</v>
      </c>
    </row>
    <row r="928" spans="1:4" x14ac:dyDescent="0.3">
      <c r="A928">
        <v>2003</v>
      </c>
      <c r="B928" t="s">
        <v>4</v>
      </c>
      <c r="C928">
        <v>65</v>
      </c>
      <c r="D928">
        <v>2</v>
      </c>
    </row>
    <row r="929" spans="1:4" x14ac:dyDescent="0.3">
      <c r="A929">
        <v>2003</v>
      </c>
      <c r="B929" t="s">
        <v>4</v>
      </c>
      <c r="C929">
        <v>70</v>
      </c>
      <c r="D929">
        <v>0</v>
      </c>
    </row>
    <row r="930" spans="1:4" x14ac:dyDescent="0.3">
      <c r="A930">
        <v>2003</v>
      </c>
      <c r="B930" t="s">
        <v>4</v>
      </c>
      <c r="C930">
        <v>75</v>
      </c>
      <c r="D930">
        <v>0</v>
      </c>
    </row>
    <row r="931" spans="1:4" x14ac:dyDescent="0.3">
      <c r="A931">
        <v>2003</v>
      </c>
      <c r="B931" t="s">
        <v>4</v>
      </c>
      <c r="C931">
        <v>80</v>
      </c>
      <c r="D931">
        <v>4</v>
      </c>
    </row>
    <row r="932" spans="1:4" x14ac:dyDescent="0.3">
      <c r="A932">
        <v>2003</v>
      </c>
      <c r="B932" t="s">
        <v>4</v>
      </c>
      <c r="C932">
        <v>85</v>
      </c>
      <c r="D932">
        <v>4</v>
      </c>
    </row>
    <row r="933" spans="1:4" x14ac:dyDescent="0.3">
      <c r="A933">
        <v>2004</v>
      </c>
      <c r="B933" t="s">
        <v>4</v>
      </c>
      <c r="C933">
        <v>0</v>
      </c>
      <c r="D933">
        <v>0</v>
      </c>
    </row>
    <row r="934" spans="1:4" x14ac:dyDescent="0.3">
      <c r="A934">
        <v>2004</v>
      </c>
      <c r="B934" t="s">
        <v>4</v>
      </c>
      <c r="C934">
        <v>1</v>
      </c>
      <c r="D934">
        <v>0</v>
      </c>
    </row>
    <row r="935" spans="1:4" x14ac:dyDescent="0.3">
      <c r="A935">
        <v>2004</v>
      </c>
      <c r="B935" t="s">
        <v>4</v>
      </c>
      <c r="C935">
        <v>5</v>
      </c>
      <c r="D935">
        <v>0</v>
      </c>
    </row>
    <row r="936" spans="1:4" x14ac:dyDescent="0.3">
      <c r="A936">
        <v>2004</v>
      </c>
      <c r="B936" t="s">
        <v>4</v>
      </c>
      <c r="C936">
        <v>10</v>
      </c>
      <c r="D936">
        <v>2</v>
      </c>
    </row>
    <row r="937" spans="1:4" x14ac:dyDescent="0.3">
      <c r="A937">
        <v>2004</v>
      </c>
      <c r="B937" t="s">
        <v>4</v>
      </c>
      <c r="C937">
        <v>15</v>
      </c>
      <c r="D937">
        <v>6</v>
      </c>
    </row>
    <row r="938" spans="1:4" x14ac:dyDescent="0.3">
      <c r="A938">
        <v>2004</v>
      </c>
      <c r="B938" t="s">
        <v>4</v>
      </c>
      <c r="C938">
        <v>20</v>
      </c>
      <c r="D938">
        <v>4</v>
      </c>
    </row>
    <row r="939" spans="1:4" x14ac:dyDescent="0.3">
      <c r="A939">
        <v>2004</v>
      </c>
      <c r="B939" t="s">
        <v>4</v>
      </c>
      <c r="C939">
        <v>25</v>
      </c>
      <c r="D939">
        <v>12</v>
      </c>
    </row>
    <row r="940" spans="1:4" x14ac:dyDescent="0.3">
      <c r="A940">
        <v>2004</v>
      </c>
      <c r="B940" t="s">
        <v>4</v>
      </c>
      <c r="C940">
        <v>30</v>
      </c>
      <c r="D940">
        <v>6</v>
      </c>
    </row>
    <row r="941" spans="1:4" x14ac:dyDescent="0.3">
      <c r="A941">
        <v>2004</v>
      </c>
      <c r="B941" t="s">
        <v>4</v>
      </c>
      <c r="C941">
        <v>35</v>
      </c>
      <c r="D941">
        <v>4</v>
      </c>
    </row>
    <row r="942" spans="1:4" x14ac:dyDescent="0.3">
      <c r="A942">
        <v>2004</v>
      </c>
      <c r="B942" t="s">
        <v>4</v>
      </c>
      <c r="C942">
        <v>40</v>
      </c>
      <c r="D942">
        <v>10</v>
      </c>
    </row>
    <row r="943" spans="1:4" x14ac:dyDescent="0.3">
      <c r="A943">
        <v>2004</v>
      </c>
      <c r="B943" t="s">
        <v>4</v>
      </c>
      <c r="C943">
        <v>45</v>
      </c>
      <c r="D943">
        <v>2</v>
      </c>
    </row>
    <row r="944" spans="1:4" x14ac:dyDescent="0.3">
      <c r="A944">
        <v>2004</v>
      </c>
      <c r="B944" t="s">
        <v>4</v>
      </c>
      <c r="C944">
        <v>50</v>
      </c>
      <c r="D944">
        <v>0</v>
      </c>
    </row>
    <row r="945" spans="1:4" x14ac:dyDescent="0.3">
      <c r="A945">
        <v>2004</v>
      </c>
      <c r="B945" t="s">
        <v>4</v>
      </c>
      <c r="C945">
        <v>55</v>
      </c>
      <c r="D945">
        <v>2</v>
      </c>
    </row>
    <row r="946" spans="1:4" x14ac:dyDescent="0.3">
      <c r="A946">
        <v>2004</v>
      </c>
      <c r="B946" t="s">
        <v>4</v>
      </c>
      <c r="C946">
        <v>60</v>
      </c>
      <c r="D946">
        <v>2</v>
      </c>
    </row>
    <row r="947" spans="1:4" x14ac:dyDescent="0.3">
      <c r="A947">
        <v>2004</v>
      </c>
      <c r="B947" t="s">
        <v>4</v>
      </c>
      <c r="C947">
        <v>65</v>
      </c>
      <c r="D947">
        <v>4</v>
      </c>
    </row>
    <row r="948" spans="1:4" x14ac:dyDescent="0.3">
      <c r="A948">
        <v>2004</v>
      </c>
      <c r="B948" t="s">
        <v>4</v>
      </c>
      <c r="C948">
        <v>70</v>
      </c>
      <c r="D948">
        <v>0</v>
      </c>
    </row>
    <row r="949" spans="1:4" x14ac:dyDescent="0.3">
      <c r="A949">
        <v>2004</v>
      </c>
      <c r="B949" t="s">
        <v>4</v>
      </c>
      <c r="C949">
        <v>75</v>
      </c>
      <c r="D949">
        <v>4</v>
      </c>
    </row>
    <row r="950" spans="1:4" x14ac:dyDescent="0.3">
      <c r="A950">
        <v>2004</v>
      </c>
      <c r="B950" t="s">
        <v>4</v>
      </c>
      <c r="C950">
        <v>80</v>
      </c>
      <c r="D950">
        <v>2</v>
      </c>
    </row>
    <row r="951" spans="1:4" x14ac:dyDescent="0.3">
      <c r="A951">
        <v>2004</v>
      </c>
      <c r="B951" t="s">
        <v>4</v>
      </c>
      <c r="C951">
        <v>85</v>
      </c>
      <c r="D951">
        <v>8</v>
      </c>
    </row>
    <row r="952" spans="1:4" x14ac:dyDescent="0.3">
      <c r="A952">
        <v>2005</v>
      </c>
      <c r="B952" t="s">
        <v>4</v>
      </c>
      <c r="C952">
        <v>0</v>
      </c>
      <c r="D952">
        <v>0</v>
      </c>
    </row>
    <row r="953" spans="1:4" x14ac:dyDescent="0.3">
      <c r="A953">
        <v>2005</v>
      </c>
      <c r="B953" t="s">
        <v>4</v>
      </c>
      <c r="C953">
        <v>1</v>
      </c>
      <c r="D953">
        <v>0</v>
      </c>
    </row>
    <row r="954" spans="1:4" x14ac:dyDescent="0.3">
      <c r="A954">
        <v>2005</v>
      </c>
      <c r="B954" t="s">
        <v>4</v>
      </c>
      <c r="C954">
        <v>5</v>
      </c>
      <c r="D954">
        <v>0</v>
      </c>
    </row>
    <row r="955" spans="1:4" x14ac:dyDescent="0.3">
      <c r="A955">
        <v>2005</v>
      </c>
      <c r="B955" t="s">
        <v>4</v>
      </c>
      <c r="C955">
        <v>10</v>
      </c>
      <c r="D955">
        <v>0</v>
      </c>
    </row>
    <row r="956" spans="1:4" x14ac:dyDescent="0.3">
      <c r="A956">
        <v>2005</v>
      </c>
      <c r="B956" t="s">
        <v>4</v>
      </c>
      <c r="C956">
        <v>15</v>
      </c>
      <c r="D956">
        <v>8</v>
      </c>
    </row>
    <row r="957" spans="1:4" x14ac:dyDescent="0.3">
      <c r="A957">
        <v>2005</v>
      </c>
      <c r="B957" t="s">
        <v>4</v>
      </c>
      <c r="C957">
        <v>20</v>
      </c>
      <c r="D957">
        <v>4</v>
      </c>
    </row>
    <row r="958" spans="1:4" x14ac:dyDescent="0.3">
      <c r="A958">
        <v>2005</v>
      </c>
      <c r="B958" t="s">
        <v>4</v>
      </c>
      <c r="C958">
        <v>25</v>
      </c>
      <c r="D958">
        <v>14</v>
      </c>
    </row>
    <row r="959" spans="1:4" x14ac:dyDescent="0.3">
      <c r="A959">
        <v>2005</v>
      </c>
      <c r="B959" t="s">
        <v>4</v>
      </c>
      <c r="C959">
        <v>30</v>
      </c>
      <c r="D959">
        <v>4</v>
      </c>
    </row>
    <row r="960" spans="1:4" x14ac:dyDescent="0.3">
      <c r="A960">
        <v>2005</v>
      </c>
      <c r="B960" t="s">
        <v>4</v>
      </c>
      <c r="C960">
        <v>35</v>
      </c>
      <c r="D960">
        <v>4</v>
      </c>
    </row>
    <row r="961" spans="1:4" x14ac:dyDescent="0.3">
      <c r="A961">
        <v>2005</v>
      </c>
      <c r="B961" t="s">
        <v>4</v>
      </c>
      <c r="C961">
        <v>40</v>
      </c>
      <c r="D961">
        <v>6</v>
      </c>
    </row>
    <row r="962" spans="1:4" x14ac:dyDescent="0.3">
      <c r="A962">
        <v>2005</v>
      </c>
      <c r="B962" t="s">
        <v>4</v>
      </c>
      <c r="C962">
        <v>45</v>
      </c>
      <c r="D962">
        <v>6</v>
      </c>
    </row>
    <row r="963" spans="1:4" x14ac:dyDescent="0.3">
      <c r="A963">
        <v>2005</v>
      </c>
      <c r="B963" t="s">
        <v>4</v>
      </c>
      <c r="C963">
        <v>50</v>
      </c>
      <c r="D963">
        <v>6</v>
      </c>
    </row>
    <row r="964" spans="1:4" x14ac:dyDescent="0.3">
      <c r="A964">
        <v>2005</v>
      </c>
      <c r="B964" t="s">
        <v>4</v>
      </c>
      <c r="C964">
        <v>55</v>
      </c>
      <c r="D964">
        <v>4</v>
      </c>
    </row>
    <row r="965" spans="1:4" x14ac:dyDescent="0.3">
      <c r="A965">
        <v>2005</v>
      </c>
      <c r="B965" t="s">
        <v>4</v>
      </c>
      <c r="C965">
        <v>60</v>
      </c>
      <c r="D965">
        <v>4</v>
      </c>
    </row>
    <row r="966" spans="1:4" x14ac:dyDescent="0.3">
      <c r="A966">
        <v>2005</v>
      </c>
      <c r="B966" t="s">
        <v>4</v>
      </c>
      <c r="C966">
        <v>65</v>
      </c>
      <c r="D966">
        <v>2</v>
      </c>
    </row>
    <row r="967" spans="1:4" x14ac:dyDescent="0.3">
      <c r="A967">
        <v>2005</v>
      </c>
      <c r="B967" t="s">
        <v>4</v>
      </c>
      <c r="C967">
        <v>70</v>
      </c>
      <c r="D967">
        <v>0</v>
      </c>
    </row>
    <row r="968" spans="1:4" x14ac:dyDescent="0.3">
      <c r="A968">
        <v>2005</v>
      </c>
      <c r="B968" t="s">
        <v>4</v>
      </c>
      <c r="C968">
        <v>75</v>
      </c>
      <c r="D968">
        <v>0</v>
      </c>
    </row>
    <row r="969" spans="1:4" x14ac:dyDescent="0.3">
      <c r="A969">
        <v>2005</v>
      </c>
      <c r="B969" t="s">
        <v>4</v>
      </c>
      <c r="C969">
        <v>80</v>
      </c>
      <c r="D969">
        <v>0</v>
      </c>
    </row>
    <row r="970" spans="1:4" x14ac:dyDescent="0.3">
      <c r="A970">
        <v>2005</v>
      </c>
      <c r="B970" t="s">
        <v>4</v>
      </c>
      <c r="C970">
        <v>85</v>
      </c>
      <c r="D970">
        <v>2</v>
      </c>
    </row>
    <row r="971" spans="1:4" x14ac:dyDescent="0.3">
      <c r="A971">
        <v>2006</v>
      </c>
      <c r="B971" t="s">
        <v>4</v>
      </c>
      <c r="C971">
        <v>0</v>
      </c>
      <c r="D971">
        <v>0</v>
      </c>
    </row>
    <row r="972" spans="1:4" x14ac:dyDescent="0.3">
      <c r="A972">
        <v>2006</v>
      </c>
      <c r="B972" t="s">
        <v>4</v>
      </c>
      <c r="C972">
        <v>1</v>
      </c>
      <c r="D972">
        <v>0</v>
      </c>
    </row>
    <row r="973" spans="1:4" x14ac:dyDescent="0.3">
      <c r="A973">
        <v>2006</v>
      </c>
      <c r="B973" t="s">
        <v>4</v>
      </c>
      <c r="C973">
        <v>5</v>
      </c>
      <c r="D973">
        <v>0</v>
      </c>
    </row>
    <row r="974" spans="1:4" x14ac:dyDescent="0.3">
      <c r="A974">
        <v>2006</v>
      </c>
      <c r="B974" t="s">
        <v>4</v>
      </c>
      <c r="C974">
        <v>10</v>
      </c>
      <c r="D974">
        <v>0</v>
      </c>
    </row>
    <row r="975" spans="1:4" x14ac:dyDescent="0.3">
      <c r="A975">
        <v>2006</v>
      </c>
      <c r="B975" t="s">
        <v>4</v>
      </c>
      <c r="C975">
        <v>15</v>
      </c>
      <c r="D975">
        <v>12</v>
      </c>
    </row>
    <row r="976" spans="1:4" x14ac:dyDescent="0.3">
      <c r="A976">
        <v>2006</v>
      </c>
      <c r="B976" t="s">
        <v>4</v>
      </c>
      <c r="C976">
        <v>20</v>
      </c>
      <c r="D976">
        <v>2</v>
      </c>
    </row>
    <row r="977" spans="1:4" x14ac:dyDescent="0.3">
      <c r="A977">
        <v>2006</v>
      </c>
      <c r="B977" t="s">
        <v>4</v>
      </c>
      <c r="C977">
        <v>25</v>
      </c>
      <c r="D977">
        <v>2</v>
      </c>
    </row>
    <row r="978" spans="1:4" x14ac:dyDescent="0.3">
      <c r="A978">
        <v>2006</v>
      </c>
      <c r="B978" t="s">
        <v>4</v>
      </c>
      <c r="C978">
        <v>30</v>
      </c>
      <c r="D978">
        <v>4</v>
      </c>
    </row>
    <row r="979" spans="1:4" x14ac:dyDescent="0.3">
      <c r="A979">
        <v>2006</v>
      </c>
      <c r="B979" t="s">
        <v>4</v>
      </c>
      <c r="C979">
        <v>35</v>
      </c>
      <c r="D979">
        <v>10</v>
      </c>
    </row>
    <row r="980" spans="1:4" x14ac:dyDescent="0.3">
      <c r="A980">
        <v>2006</v>
      </c>
      <c r="B980" t="s">
        <v>4</v>
      </c>
      <c r="C980">
        <v>40</v>
      </c>
      <c r="D980">
        <v>10</v>
      </c>
    </row>
    <row r="981" spans="1:4" x14ac:dyDescent="0.3">
      <c r="A981">
        <v>2006</v>
      </c>
      <c r="B981" t="s">
        <v>4</v>
      </c>
      <c r="C981">
        <v>45</v>
      </c>
      <c r="D981">
        <v>6</v>
      </c>
    </row>
    <row r="982" spans="1:4" x14ac:dyDescent="0.3">
      <c r="A982">
        <v>2006</v>
      </c>
      <c r="B982" t="s">
        <v>4</v>
      </c>
      <c r="C982">
        <v>50</v>
      </c>
      <c r="D982">
        <v>10</v>
      </c>
    </row>
    <row r="983" spans="1:4" x14ac:dyDescent="0.3">
      <c r="A983">
        <v>2006</v>
      </c>
      <c r="B983" t="s">
        <v>4</v>
      </c>
      <c r="C983">
        <v>55</v>
      </c>
      <c r="D983">
        <v>0</v>
      </c>
    </row>
    <row r="984" spans="1:4" x14ac:dyDescent="0.3">
      <c r="A984">
        <v>2006</v>
      </c>
      <c r="B984" t="s">
        <v>4</v>
      </c>
      <c r="C984">
        <v>60</v>
      </c>
      <c r="D984">
        <v>2</v>
      </c>
    </row>
    <row r="985" spans="1:4" x14ac:dyDescent="0.3">
      <c r="A985">
        <v>2006</v>
      </c>
      <c r="B985" t="s">
        <v>4</v>
      </c>
      <c r="C985">
        <v>65</v>
      </c>
      <c r="D985">
        <v>2</v>
      </c>
    </row>
    <row r="986" spans="1:4" x14ac:dyDescent="0.3">
      <c r="A986">
        <v>2006</v>
      </c>
      <c r="B986" t="s">
        <v>4</v>
      </c>
      <c r="C986">
        <v>70</v>
      </c>
      <c r="D986">
        <v>2</v>
      </c>
    </row>
    <row r="987" spans="1:4" x14ac:dyDescent="0.3">
      <c r="A987">
        <v>2006</v>
      </c>
      <c r="B987" t="s">
        <v>4</v>
      </c>
      <c r="C987">
        <v>75</v>
      </c>
      <c r="D987">
        <v>0</v>
      </c>
    </row>
    <row r="988" spans="1:4" x14ac:dyDescent="0.3">
      <c r="A988">
        <v>2006</v>
      </c>
      <c r="B988" t="s">
        <v>4</v>
      </c>
      <c r="C988">
        <v>80</v>
      </c>
      <c r="D988">
        <v>0</v>
      </c>
    </row>
    <row r="989" spans="1:4" x14ac:dyDescent="0.3">
      <c r="A989">
        <v>2006</v>
      </c>
      <c r="B989" t="s">
        <v>4</v>
      </c>
      <c r="C989">
        <v>85</v>
      </c>
      <c r="D989">
        <v>2</v>
      </c>
    </row>
    <row r="990" spans="1:4" x14ac:dyDescent="0.3">
      <c r="A990">
        <v>2007</v>
      </c>
      <c r="B990" t="s">
        <v>4</v>
      </c>
      <c r="C990">
        <v>0</v>
      </c>
      <c r="D990">
        <v>0</v>
      </c>
    </row>
    <row r="991" spans="1:4" x14ac:dyDescent="0.3">
      <c r="A991">
        <v>2007</v>
      </c>
      <c r="B991" t="s">
        <v>4</v>
      </c>
      <c r="C991">
        <v>1</v>
      </c>
      <c r="D991">
        <v>0</v>
      </c>
    </row>
    <row r="992" spans="1:4" x14ac:dyDescent="0.3">
      <c r="A992">
        <v>2007</v>
      </c>
      <c r="B992" t="s">
        <v>4</v>
      </c>
      <c r="C992">
        <v>5</v>
      </c>
      <c r="D992">
        <v>0</v>
      </c>
    </row>
    <row r="993" spans="1:4" x14ac:dyDescent="0.3">
      <c r="A993">
        <v>2007</v>
      </c>
      <c r="B993" t="s">
        <v>4</v>
      </c>
      <c r="C993">
        <v>10</v>
      </c>
      <c r="D993">
        <v>0</v>
      </c>
    </row>
    <row r="994" spans="1:4" x14ac:dyDescent="0.3">
      <c r="A994">
        <v>2007</v>
      </c>
      <c r="B994" t="s">
        <v>4</v>
      </c>
      <c r="C994">
        <v>15</v>
      </c>
      <c r="D994">
        <v>8</v>
      </c>
    </row>
    <row r="995" spans="1:4" x14ac:dyDescent="0.3">
      <c r="A995">
        <v>2007</v>
      </c>
      <c r="B995" t="s">
        <v>4</v>
      </c>
      <c r="C995">
        <v>20</v>
      </c>
      <c r="D995">
        <v>6</v>
      </c>
    </row>
    <row r="996" spans="1:4" x14ac:dyDescent="0.3">
      <c r="A996">
        <v>2007</v>
      </c>
      <c r="B996" t="s">
        <v>4</v>
      </c>
      <c r="C996">
        <v>25</v>
      </c>
      <c r="D996">
        <v>6</v>
      </c>
    </row>
    <row r="997" spans="1:4" x14ac:dyDescent="0.3">
      <c r="A997">
        <v>2007</v>
      </c>
      <c r="B997" t="s">
        <v>4</v>
      </c>
      <c r="C997">
        <v>30</v>
      </c>
      <c r="D997">
        <v>6</v>
      </c>
    </row>
    <row r="998" spans="1:4" x14ac:dyDescent="0.3">
      <c r="A998">
        <v>2007</v>
      </c>
      <c r="B998" t="s">
        <v>4</v>
      </c>
      <c r="C998">
        <v>35</v>
      </c>
      <c r="D998">
        <v>4</v>
      </c>
    </row>
    <row r="999" spans="1:4" x14ac:dyDescent="0.3">
      <c r="A999">
        <v>2007</v>
      </c>
      <c r="B999" t="s">
        <v>4</v>
      </c>
      <c r="C999">
        <v>40</v>
      </c>
      <c r="D999">
        <v>16</v>
      </c>
    </row>
    <row r="1000" spans="1:4" x14ac:dyDescent="0.3">
      <c r="A1000">
        <v>2007</v>
      </c>
      <c r="B1000" t="s">
        <v>4</v>
      </c>
      <c r="C1000">
        <v>45</v>
      </c>
      <c r="D1000">
        <v>12</v>
      </c>
    </row>
    <row r="1001" spans="1:4" x14ac:dyDescent="0.3">
      <c r="A1001">
        <v>2007</v>
      </c>
      <c r="B1001" t="s">
        <v>4</v>
      </c>
      <c r="C1001">
        <v>50</v>
      </c>
      <c r="D1001">
        <v>0</v>
      </c>
    </row>
    <row r="1002" spans="1:4" x14ac:dyDescent="0.3">
      <c r="A1002">
        <v>2007</v>
      </c>
      <c r="B1002" t="s">
        <v>4</v>
      </c>
      <c r="C1002">
        <v>55</v>
      </c>
      <c r="D1002">
        <v>6</v>
      </c>
    </row>
    <row r="1003" spans="1:4" x14ac:dyDescent="0.3">
      <c r="A1003">
        <v>2007</v>
      </c>
      <c r="B1003" t="s">
        <v>4</v>
      </c>
      <c r="C1003">
        <v>60</v>
      </c>
      <c r="D1003">
        <v>0</v>
      </c>
    </row>
    <row r="1004" spans="1:4" x14ac:dyDescent="0.3">
      <c r="A1004">
        <v>2007</v>
      </c>
      <c r="B1004" t="s">
        <v>4</v>
      </c>
      <c r="C1004">
        <v>65</v>
      </c>
      <c r="D1004">
        <v>0</v>
      </c>
    </row>
    <row r="1005" spans="1:4" x14ac:dyDescent="0.3">
      <c r="A1005">
        <v>2007</v>
      </c>
      <c r="B1005" t="s">
        <v>4</v>
      </c>
      <c r="C1005">
        <v>70</v>
      </c>
      <c r="D1005">
        <v>2</v>
      </c>
    </row>
    <row r="1006" spans="1:4" x14ac:dyDescent="0.3">
      <c r="A1006">
        <v>2007</v>
      </c>
      <c r="B1006" t="s">
        <v>4</v>
      </c>
      <c r="C1006">
        <v>75</v>
      </c>
      <c r="D1006">
        <v>6</v>
      </c>
    </row>
    <row r="1007" spans="1:4" x14ac:dyDescent="0.3">
      <c r="A1007">
        <v>2007</v>
      </c>
      <c r="B1007" t="s">
        <v>4</v>
      </c>
      <c r="C1007">
        <v>80</v>
      </c>
      <c r="D1007">
        <v>2</v>
      </c>
    </row>
    <row r="1008" spans="1:4" x14ac:dyDescent="0.3">
      <c r="A1008">
        <v>2007</v>
      </c>
      <c r="B1008" t="s">
        <v>4</v>
      </c>
      <c r="C1008">
        <v>85</v>
      </c>
      <c r="D1008">
        <v>0</v>
      </c>
    </row>
    <row r="1009" spans="1:4" x14ac:dyDescent="0.3">
      <c r="A1009">
        <v>2008</v>
      </c>
      <c r="B1009" t="s">
        <v>4</v>
      </c>
      <c r="C1009">
        <v>0</v>
      </c>
      <c r="D1009">
        <v>0</v>
      </c>
    </row>
    <row r="1010" spans="1:4" x14ac:dyDescent="0.3">
      <c r="A1010">
        <v>2008</v>
      </c>
      <c r="B1010" t="s">
        <v>4</v>
      </c>
      <c r="C1010">
        <v>1</v>
      </c>
      <c r="D1010">
        <v>0</v>
      </c>
    </row>
    <row r="1011" spans="1:4" x14ac:dyDescent="0.3">
      <c r="A1011">
        <v>2008</v>
      </c>
      <c r="B1011" t="s">
        <v>4</v>
      </c>
      <c r="C1011">
        <v>5</v>
      </c>
      <c r="D1011">
        <v>2</v>
      </c>
    </row>
    <row r="1012" spans="1:4" x14ac:dyDescent="0.3">
      <c r="A1012">
        <v>2008</v>
      </c>
      <c r="B1012" t="s">
        <v>4</v>
      </c>
      <c r="C1012">
        <v>10</v>
      </c>
      <c r="D1012">
        <v>0</v>
      </c>
    </row>
    <row r="1013" spans="1:4" x14ac:dyDescent="0.3">
      <c r="A1013">
        <v>2008</v>
      </c>
      <c r="B1013" t="s">
        <v>4</v>
      </c>
      <c r="C1013">
        <v>15</v>
      </c>
      <c r="D1013">
        <v>4</v>
      </c>
    </row>
    <row r="1014" spans="1:4" x14ac:dyDescent="0.3">
      <c r="A1014">
        <v>2008</v>
      </c>
      <c r="B1014" t="s">
        <v>4</v>
      </c>
      <c r="C1014">
        <v>20</v>
      </c>
      <c r="D1014">
        <v>6</v>
      </c>
    </row>
    <row r="1015" spans="1:4" x14ac:dyDescent="0.3">
      <c r="A1015">
        <v>2008</v>
      </c>
      <c r="B1015" t="s">
        <v>4</v>
      </c>
      <c r="C1015">
        <v>25</v>
      </c>
      <c r="D1015">
        <v>14</v>
      </c>
    </row>
    <row r="1016" spans="1:4" x14ac:dyDescent="0.3">
      <c r="A1016">
        <v>2008</v>
      </c>
      <c r="B1016" t="s">
        <v>4</v>
      </c>
      <c r="C1016">
        <v>30</v>
      </c>
      <c r="D1016">
        <v>12</v>
      </c>
    </row>
    <row r="1017" spans="1:4" x14ac:dyDescent="0.3">
      <c r="A1017">
        <v>2008</v>
      </c>
      <c r="B1017" t="s">
        <v>4</v>
      </c>
      <c r="C1017">
        <v>35</v>
      </c>
      <c r="D1017">
        <v>6</v>
      </c>
    </row>
    <row r="1018" spans="1:4" x14ac:dyDescent="0.3">
      <c r="A1018">
        <v>2008</v>
      </c>
      <c r="B1018" t="s">
        <v>4</v>
      </c>
      <c r="C1018">
        <v>40</v>
      </c>
      <c r="D1018">
        <v>8</v>
      </c>
    </row>
    <row r="1019" spans="1:4" x14ac:dyDescent="0.3">
      <c r="A1019">
        <v>2008</v>
      </c>
      <c r="B1019" t="s">
        <v>4</v>
      </c>
      <c r="C1019">
        <v>45</v>
      </c>
      <c r="D1019">
        <v>6</v>
      </c>
    </row>
    <row r="1020" spans="1:4" x14ac:dyDescent="0.3">
      <c r="A1020">
        <v>2008</v>
      </c>
      <c r="B1020" t="s">
        <v>4</v>
      </c>
      <c r="C1020">
        <v>50</v>
      </c>
      <c r="D1020">
        <v>6</v>
      </c>
    </row>
    <row r="1021" spans="1:4" x14ac:dyDescent="0.3">
      <c r="A1021">
        <v>2008</v>
      </c>
      <c r="B1021" t="s">
        <v>4</v>
      </c>
      <c r="C1021">
        <v>55</v>
      </c>
      <c r="D1021">
        <v>0</v>
      </c>
    </row>
    <row r="1022" spans="1:4" x14ac:dyDescent="0.3">
      <c r="A1022">
        <v>2008</v>
      </c>
      <c r="B1022" t="s">
        <v>4</v>
      </c>
      <c r="C1022">
        <v>60</v>
      </c>
      <c r="D1022">
        <v>4</v>
      </c>
    </row>
    <row r="1023" spans="1:4" x14ac:dyDescent="0.3">
      <c r="A1023">
        <v>2008</v>
      </c>
      <c r="B1023" t="s">
        <v>4</v>
      </c>
      <c r="C1023">
        <v>65</v>
      </c>
      <c r="D1023">
        <v>2</v>
      </c>
    </row>
    <row r="1024" spans="1:4" x14ac:dyDescent="0.3">
      <c r="A1024">
        <v>2008</v>
      </c>
      <c r="B1024" t="s">
        <v>4</v>
      </c>
      <c r="C1024">
        <v>70</v>
      </c>
      <c r="D1024">
        <v>2</v>
      </c>
    </row>
    <row r="1025" spans="1:4" x14ac:dyDescent="0.3">
      <c r="A1025">
        <v>2008</v>
      </c>
      <c r="B1025" t="s">
        <v>4</v>
      </c>
      <c r="C1025">
        <v>75</v>
      </c>
      <c r="D1025">
        <v>2</v>
      </c>
    </row>
    <row r="1026" spans="1:4" x14ac:dyDescent="0.3">
      <c r="A1026">
        <v>2008</v>
      </c>
      <c r="B1026" t="s">
        <v>4</v>
      </c>
      <c r="C1026">
        <v>80</v>
      </c>
      <c r="D1026">
        <v>0</v>
      </c>
    </row>
    <row r="1027" spans="1:4" x14ac:dyDescent="0.3">
      <c r="A1027">
        <v>2008</v>
      </c>
      <c r="B1027" t="s">
        <v>4</v>
      </c>
      <c r="C1027">
        <v>85</v>
      </c>
      <c r="D1027">
        <v>0</v>
      </c>
    </row>
    <row r="1028" spans="1:4" x14ac:dyDescent="0.3">
      <c r="A1028">
        <v>2009</v>
      </c>
      <c r="B1028" t="s">
        <v>4</v>
      </c>
      <c r="C1028">
        <v>0</v>
      </c>
      <c r="D1028">
        <v>0</v>
      </c>
    </row>
    <row r="1029" spans="1:4" x14ac:dyDescent="0.3">
      <c r="A1029">
        <v>2009</v>
      </c>
      <c r="B1029" t="s">
        <v>4</v>
      </c>
      <c r="C1029">
        <v>1</v>
      </c>
      <c r="D1029">
        <v>0</v>
      </c>
    </row>
    <row r="1030" spans="1:4" x14ac:dyDescent="0.3">
      <c r="A1030">
        <v>2009</v>
      </c>
      <c r="B1030" t="s">
        <v>4</v>
      </c>
      <c r="C1030">
        <v>5</v>
      </c>
      <c r="D1030">
        <v>0</v>
      </c>
    </row>
    <row r="1031" spans="1:4" x14ac:dyDescent="0.3">
      <c r="A1031">
        <v>2009</v>
      </c>
      <c r="B1031" t="s">
        <v>4</v>
      </c>
      <c r="C1031">
        <v>10</v>
      </c>
      <c r="D1031">
        <v>0</v>
      </c>
    </row>
    <row r="1032" spans="1:4" x14ac:dyDescent="0.3">
      <c r="A1032">
        <v>2009</v>
      </c>
      <c r="B1032" t="s">
        <v>4</v>
      </c>
      <c r="C1032">
        <v>15</v>
      </c>
      <c r="D1032">
        <v>8</v>
      </c>
    </row>
    <row r="1033" spans="1:4" x14ac:dyDescent="0.3">
      <c r="A1033">
        <v>2009</v>
      </c>
      <c r="B1033" t="s">
        <v>4</v>
      </c>
      <c r="C1033">
        <v>20</v>
      </c>
      <c r="D1033">
        <v>10</v>
      </c>
    </row>
    <row r="1034" spans="1:4" x14ac:dyDescent="0.3">
      <c r="A1034">
        <v>2009</v>
      </c>
      <c r="B1034" t="s">
        <v>4</v>
      </c>
      <c r="C1034">
        <v>25</v>
      </c>
      <c r="D1034">
        <v>6</v>
      </c>
    </row>
    <row r="1035" spans="1:4" x14ac:dyDescent="0.3">
      <c r="A1035">
        <v>2009</v>
      </c>
      <c r="B1035" t="s">
        <v>4</v>
      </c>
      <c r="C1035">
        <v>30</v>
      </c>
      <c r="D1035">
        <v>6</v>
      </c>
    </row>
    <row r="1036" spans="1:4" x14ac:dyDescent="0.3">
      <c r="A1036">
        <v>2009</v>
      </c>
      <c r="B1036" t="s">
        <v>4</v>
      </c>
      <c r="C1036">
        <v>35</v>
      </c>
      <c r="D1036">
        <v>8</v>
      </c>
    </row>
    <row r="1037" spans="1:4" x14ac:dyDescent="0.3">
      <c r="A1037">
        <v>2009</v>
      </c>
      <c r="B1037" t="s">
        <v>4</v>
      </c>
      <c r="C1037">
        <v>40</v>
      </c>
      <c r="D1037">
        <v>6</v>
      </c>
    </row>
    <row r="1038" spans="1:4" x14ac:dyDescent="0.3">
      <c r="A1038">
        <v>2009</v>
      </c>
      <c r="B1038" t="s">
        <v>4</v>
      </c>
      <c r="C1038">
        <v>45</v>
      </c>
      <c r="D1038">
        <v>2</v>
      </c>
    </row>
    <row r="1039" spans="1:4" x14ac:dyDescent="0.3">
      <c r="A1039">
        <v>2009</v>
      </c>
      <c r="B1039" t="s">
        <v>4</v>
      </c>
      <c r="C1039">
        <v>50</v>
      </c>
      <c r="D1039">
        <v>4</v>
      </c>
    </row>
    <row r="1040" spans="1:4" x14ac:dyDescent="0.3">
      <c r="A1040">
        <v>2009</v>
      </c>
      <c r="B1040" t="s">
        <v>4</v>
      </c>
      <c r="C1040">
        <v>55</v>
      </c>
      <c r="D1040">
        <v>2</v>
      </c>
    </row>
    <row r="1041" spans="1:4" x14ac:dyDescent="0.3">
      <c r="A1041">
        <v>2009</v>
      </c>
      <c r="B1041" t="s">
        <v>4</v>
      </c>
      <c r="C1041">
        <v>60</v>
      </c>
      <c r="D1041">
        <v>4</v>
      </c>
    </row>
    <row r="1042" spans="1:4" x14ac:dyDescent="0.3">
      <c r="A1042">
        <v>2009</v>
      </c>
      <c r="B1042" t="s">
        <v>4</v>
      </c>
      <c r="C1042">
        <v>65</v>
      </c>
      <c r="D1042">
        <v>6</v>
      </c>
    </row>
    <row r="1043" spans="1:4" x14ac:dyDescent="0.3">
      <c r="A1043">
        <v>2009</v>
      </c>
      <c r="B1043" t="s">
        <v>4</v>
      </c>
      <c r="C1043">
        <v>70</v>
      </c>
      <c r="D1043">
        <v>2</v>
      </c>
    </row>
    <row r="1044" spans="1:4" x14ac:dyDescent="0.3">
      <c r="A1044">
        <v>2009</v>
      </c>
      <c r="B1044" t="s">
        <v>4</v>
      </c>
      <c r="C1044">
        <v>75</v>
      </c>
      <c r="D1044">
        <v>0</v>
      </c>
    </row>
    <row r="1045" spans="1:4" x14ac:dyDescent="0.3">
      <c r="A1045">
        <v>2009</v>
      </c>
      <c r="B1045" t="s">
        <v>4</v>
      </c>
      <c r="C1045">
        <v>80</v>
      </c>
      <c r="D1045">
        <v>0</v>
      </c>
    </row>
    <row r="1046" spans="1:4" x14ac:dyDescent="0.3">
      <c r="A1046">
        <v>2009</v>
      </c>
      <c r="B1046" t="s">
        <v>4</v>
      </c>
      <c r="C1046">
        <v>85</v>
      </c>
      <c r="D1046">
        <v>0</v>
      </c>
    </row>
    <row r="1047" spans="1:4" x14ac:dyDescent="0.3">
      <c r="A1047">
        <v>2010</v>
      </c>
      <c r="B1047" t="s">
        <v>4</v>
      </c>
      <c r="C1047">
        <v>0</v>
      </c>
      <c r="D1047">
        <v>0</v>
      </c>
    </row>
    <row r="1048" spans="1:4" x14ac:dyDescent="0.3">
      <c r="A1048">
        <v>2010</v>
      </c>
      <c r="B1048" t="s">
        <v>4</v>
      </c>
      <c r="C1048">
        <v>1</v>
      </c>
      <c r="D1048">
        <v>2</v>
      </c>
    </row>
    <row r="1049" spans="1:4" x14ac:dyDescent="0.3">
      <c r="A1049">
        <v>2010</v>
      </c>
      <c r="B1049" t="s">
        <v>4</v>
      </c>
      <c r="C1049">
        <v>5</v>
      </c>
      <c r="D1049">
        <v>0</v>
      </c>
    </row>
    <row r="1050" spans="1:4" x14ac:dyDescent="0.3">
      <c r="A1050">
        <v>2010</v>
      </c>
      <c r="B1050" t="s">
        <v>4</v>
      </c>
      <c r="C1050">
        <v>10</v>
      </c>
      <c r="D1050">
        <v>0</v>
      </c>
    </row>
    <row r="1051" spans="1:4" x14ac:dyDescent="0.3">
      <c r="A1051">
        <v>2010</v>
      </c>
      <c r="B1051" t="s">
        <v>4</v>
      </c>
      <c r="C1051">
        <v>15</v>
      </c>
      <c r="D1051">
        <v>6</v>
      </c>
    </row>
    <row r="1052" spans="1:4" x14ac:dyDescent="0.3">
      <c r="A1052">
        <v>2010</v>
      </c>
      <c r="B1052" t="s">
        <v>4</v>
      </c>
      <c r="C1052">
        <v>20</v>
      </c>
      <c r="D1052">
        <v>6</v>
      </c>
    </row>
    <row r="1053" spans="1:4" x14ac:dyDescent="0.3">
      <c r="A1053">
        <v>2010</v>
      </c>
      <c r="B1053" t="s">
        <v>4</v>
      </c>
      <c r="C1053">
        <v>25</v>
      </c>
      <c r="D1053">
        <v>6</v>
      </c>
    </row>
    <row r="1054" spans="1:4" x14ac:dyDescent="0.3">
      <c r="A1054">
        <v>2010</v>
      </c>
      <c r="B1054" t="s">
        <v>4</v>
      </c>
      <c r="C1054">
        <v>30</v>
      </c>
      <c r="D1054">
        <v>10</v>
      </c>
    </row>
    <row r="1055" spans="1:4" x14ac:dyDescent="0.3">
      <c r="A1055">
        <v>2010</v>
      </c>
      <c r="B1055" t="s">
        <v>4</v>
      </c>
      <c r="C1055">
        <v>35</v>
      </c>
      <c r="D1055">
        <v>4</v>
      </c>
    </row>
    <row r="1056" spans="1:4" x14ac:dyDescent="0.3">
      <c r="A1056">
        <v>2010</v>
      </c>
      <c r="B1056" t="s">
        <v>4</v>
      </c>
      <c r="C1056">
        <v>40</v>
      </c>
      <c r="D1056">
        <v>6</v>
      </c>
    </row>
    <row r="1057" spans="1:4" x14ac:dyDescent="0.3">
      <c r="A1057">
        <v>2010</v>
      </c>
      <c r="B1057" t="s">
        <v>4</v>
      </c>
      <c r="C1057">
        <v>45</v>
      </c>
      <c r="D1057">
        <v>6</v>
      </c>
    </row>
    <row r="1058" spans="1:4" x14ac:dyDescent="0.3">
      <c r="A1058">
        <v>2010</v>
      </c>
      <c r="B1058" t="s">
        <v>4</v>
      </c>
      <c r="C1058">
        <v>50</v>
      </c>
      <c r="D1058">
        <v>6</v>
      </c>
    </row>
    <row r="1059" spans="1:4" x14ac:dyDescent="0.3">
      <c r="A1059">
        <v>2010</v>
      </c>
      <c r="B1059" t="s">
        <v>4</v>
      </c>
      <c r="C1059">
        <v>55</v>
      </c>
      <c r="D1059">
        <v>0</v>
      </c>
    </row>
    <row r="1060" spans="1:4" x14ac:dyDescent="0.3">
      <c r="A1060">
        <v>2010</v>
      </c>
      <c r="B1060" t="s">
        <v>4</v>
      </c>
      <c r="C1060">
        <v>60</v>
      </c>
      <c r="D1060">
        <v>2</v>
      </c>
    </row>
    <row r="1061" spans="1:4" x14ac:dyDescent="0.3">
      <c r="A1061">
        <v>2010</v>
      </c>
      <c r="B1061" t="s">
        <v>4</v>
      </c>
      <c r="C1061">
        <v>65</v>
      </c>
      <c r="D1061">
        <v>2</v>
      </c>
    </row>
    <row r="1062" spans="1:4" x14ac:dyDescent="0.3">
      <c r="A1062">
        <v>2010</v>
      </c>
      <c r="B1062" t="s">
        <v>4</v>
      </c>
      <c r="C1062">
        <v>70</v>
      </c>
      <c r="D1062">
        <v>2</v>
      </c>
    </row>
    <row r="1063" spans="1:4" x14ac:dyDescent="0.3">
      <c r="A1063">
        <v>2010</v>
      </c>
      <c r="B1063" t="s">
        <v>4</v>
      </c>
      <c r="C1063">
        <v>75</v>
      </c>
      <c r="D1063">
        <v>2</v>
      </c>
    </row>
    <row r="1064" spans="1:4" x14ac:dyDescent="0.3">
      <c r="A1064">
        <v>2010</v>
      </c>
      <c r="B1064" t="s">
        <v>4</v>
      </c>
      <c r="C1064">
        <v>80</v>
      </c>
      <c r="D1064">
        <v>0</v>
      </c>
    </row>
    <row r="1065" spans="1:4" x14ac:dyDescent="0.3">
      <c r="A1065">
        <v>2010</v>
      </c>
      <c r="B1065" t="s">
        <v>4</v>
      </c>
      <c r="C1065">
        <v>85</v>
      </c>
      <c r="D1065">
        <v>2</v>
      </c>
    </row>
    <row r="1066" spans="1:4" x14ac:dyDescent="0.3">
      <c r="A1066">
        <v>2011</v>
      </c>
      <c r="B1066" t="s">
        <v>4</v>
      </c>
      <c r="C1066">
        <v>0</v>
      </c>
      <c r="D1066">
        <v>2</v>
      </c>
    </row>
    <row r="1067" spans="1:4" x14ac:dyDescent="0.3">
      <c r="A1067">
        <v>2011</v>
      </c>
      <c r="B1067" t="s">
        <v>4</v>
      </c>
      <c r="C1067">
        <v>1</v>
      </c>
      <c r="D1067">
        <v>2</v>
      </c>
    </row>
    <row r="1068" spans="1:4" x14ac:dyDescent="0.3">
      <c r="A1068">
        <v>2011</v>
      </c>
      <c r="B1068" t="s">
        <v>4</v>
      </c>
      <c r="C1068">
        <v>5</v>
      </c>
      <c r="D1068">
        <v>4</v>
      </c>
    </row>
    <row r="1069" spans="1:4" x14ac:dyDescent="0.3">
      <c r="A1069">
        <v>2011</v>
      </c>
      <c r="B1069" t="s">
        <v>4</v>
      </c>
      <c r="C1069">
        <v>10</v>
      </c>
      <c r="D1069">
        <v>0</v>
      </c>
    </row>
    <row r="1070" spans="1:4" x14ac:dyDescent="0.3">
      <c r="A1070">
        <v>2011</v>
      </c>
      <c r="B1070" t="s">
        <v>4</v>
      </c>
      <c r="C1070">
        <v>15</v>
      </c>
      <c r="D1070">
        <v>8</v>
      </c>
    </row>
    <row r="1071" spans="1:4" x14ac:dyDescent="0.3">
      <c r="A1071">
        <v>2011</v>
      </c>
      <c r="B1071" t="s">
        <v>4</v>
      </c>
      <c r="C1071">
        <v>20</v>
      </c>
      <c r="D1071">
        <v>2</v>
      </c>
    </row>
    <row r="1072" spans="1:4" x14ac:dyDescent="0.3">
      <c r="A1072">
        <v>2011</v>
      </c>
      <c r="B1072" t="s">
        <v>4</v>
      </c>
      <c r="C1072">
        <v>25</v>
      </c>
      <c r="D1072">
        <v>8</v>
      </c>
    </row>
    <row r="1073" spans="1:4" x14ac:dyDescent="0.3">
      <c r="A1073">
        <v>2011</v>
      </c>
      <c r="B1073" t="s">
        <v>4</v>
      </c>
      <c r="C1073">
        <v>30</v>
      </c>
      <c r="D1073">
        <v>4</v>
      </c>
    </row>
    <row r="1074" spans="1:4" x14ac:dyDescent="0.3">
      <c r="A1074">
        <v>2011</v>
      </c>
      <c r="B1074" t="s">
        <v>4</v>
      </c>
      <c r="C1074">
        <v>35</v>
      </c>
      <c r="D1074">
        <v>6</v>
      </c>
    </row>
    <row r="1075" spans="1:4" x14ac:dyDescent="0.3">
      <c r="A1075">
        <v>2011</v>
      </c>
      <c r="B1075" t="s">
        <v>4</v>
      </c>
      <c r="C1075">
        <v>40</v>
      </c>
      <c r="D1075">
        <v>14</v>
      </c>
    </row>
    <row r="1076" spans="1:4" x14ac:dyDescent="0.3">
      <c r="A1076">
        <v>2011</v>
      </c>
      <c r="B1076" t="s">
        <v>4</v>
      </c>
      <c r="C1076">
        <v>45</v>
      </c>
      <c r="D1076">
        <v>6</v>
      </c>
    </row>
    <row r="1077" spans="1:4" x14ac:dyDescent="0.3">
      <c r="A1077">
        <v>2011</v>
      </c>
      <c r="B1077" t="s">
        <v>4</v>
      </c>
      <c r="C1077">
        <v>50</v>
      </c>
      <c r="D1077">
        <v>6</v>
      </c>
    </row>
    <row r="1078" spans="1:4" x14ac:dyDescent="0.3">
      <c r="A1078">
        <v>2011</v>
      </c>
      <c r="B1078" t="s">
        <v>4</v>
      </c>
      <c r="C1078">
        <v>55</v>
      </c>
      <c r="D1078">
        <v>8</v>
      </c>
    </row>
    <row r="1079" spans="1:4" x14ac:dyDescent="0.3">
      <c r="A1079">
        <v>2011</v>
      </c>
      <c r="B1079" t="s">
        <v>4</v>
      </c>
      <c r="C1079">
        <v>60</v>
      </c>
      <c r="D1079">
        <v>6</v>
      </c>
    </row>
    <row r="1080" spans="1:4" x14ac:dyDescent="0.3">
      <c r="A1080">
        <v>2011</v>
      </c>
      <c r="B1080" t="s">
        <v>4</v>
      </c>
      <c r="C1080">
        <v>65</v>
      </c>
      <c r="D1080">
        <v>6</v>
      </c>
    </row>
    <row r="1081" spans="1:4" x14ac:dyDescent="0.3">
      <c r="A1081">
        <v>2011</v>
      </c>
      <c r="B1081" t="s">
        <v>4</v>
      </c>
      <c r="C1081">
        <v>70</v>
      </c>
      <c r="D1081">
        <v>0</v>
      </c>
    </row>
    <row r="1082" spans="1:4" x14ac:dyDescent="0.3">
      <c r="A1082">
        <v>2011</v>
      </c>
      <c r="B1082" t="s">
        <v>4</v>
      </c>
      <c r="C1082">
        <v>75</v>
      </c>
      <c r="D1082">
        <v>0</v>
      </c>
    </row>
    <row r="1083" spans="1:4" x14ac:dyDescent="0.3">
      <c r="A1083">
        <v>2011</v>
      </c>
      <c r="B1083" t="s">
        <v>4</v>
      </c>
      <c r="C1083">
        <v>80</v>
      </c>
      <c r="D1083">
        <v>0</v>
      </c>
    </row>
    <row r="1084" spans="1:4" x14ac:dyDescent="0.3">
      <c r="A1084">
        <v>2011</v>
      </c>
      <c r="B1084" t="s">
        <v>4</v>
      </c>
      <c r="C1084">
        <v>85</v>
      </c>
      <c r="D1084">
        <v>0</v>
      </c>
    </row>
    <row r="1085" spans="1:4" x14ac:dyDescent="0.3">
      <c r="A1085">
        <v>2012</v>
      </c>
      <c r="B1085" t="s">
        <v>4</v>
      </c>
      <c r="C1085">
        <v>0</v>
      </c>
      <c r="D1085">
        <v>0</v>
      </c>
    </row>
    <row r="1086" spans="1:4" x14ac:dyDescent="0.3">
      <c r="A1086">
        <v>2012</v>
      </c>
      <c r="B1086" t="s">
        <v>4</v>
      </c>
      <c r="C1086">
        <v>1</v>
      </c>
      <c r="D1086">
        <v>0</v>
      </c>
    </row>
    <row r="1087" spans="1:4" x14ac:dyDescent="0.3">
      <c r="A1087">
        <v>2012</v>
      </c>
      <c r="B1087" t="s">
        <v>4</v>
      </c>
      <c r="C1087">
        <v>5</v>
      </c>
      <c r="D1087">
        <v>0</v>
      </c>
    </row>
    <row r="1088" spans="1:4" x14ac:dyDescent="0.3">
      <c r="A1088">
        <v>2012</v>
      </c>
      <c r="B1088" t="s">
        <v>4</v>
      </c>
      <c r="C1088">
        <v>10</v>
      </c>
      <c r="D1088">
        <v>0</v>
      </c>
    </row>
    <row r="1089" spans="1:4" x14ac:dyDescent="0.3">
      <c r="A1089">
        <v>2012</v>
      </c>
      <c r="B1089" t="s">
        <v>4</v>
      </c>
      <c r="C1089">
        <v>15</v>
      </c>
      <c r="D1089">
        <v>6</v>
      </c>
    </row>
    <row r="1090" spans="1:4" x14ac:dyDescent="0.3">
      <c r="A1090">
        <v>2012</v>
      </c>
      <c r="B1090" t="s">
        <v>4</v>
      </c>
      <c r="C1090">
        <v>20</v>
      </c>
      <c r="D1090">
        <v>4</v>
      </c>
    </row>
    <row r="1091" spans="1:4" x14ac:dyDescent="0.3">
      <c r="A1091">
        <v>2012</v>
      </c>
      <c r="B1091" t="s">
        <v>4</v>
      </c>
      <c r="C1091">
        <v>25</v>
      </c>
      <c r="D1091">
        <v>6</v>
      </c>
    </row>
    <row r="1092" spans="1:4" x14ac:dyDescent="0.3">
      <c r="A1092">
        <v>2012</v>
      </c>
      <c r="B1092" t="s">
        <v>4</v>
      </c>
      <c r="C1092">
        <v>30</v>
      </c>
      <c r="D1092">
        <v>8</v>
      </c>
    </row>
    <row r="1093" spans="1:4" x14ac:dyDescent="0.3">
      <c r="A1093">
        <v>2012</v>
      </c>
      <c r="B1093" t="s">
        <v>4</v>
      </c>
      <c r="C1093">
        <v>35</v>
      </c>
      <c r="D1093">
        <v>4</v>
      </c>
    </row>
    <row r="1094" spans="1:4" x14ac:dyDescent="0.3">
      <c r="A1094">
        <v>2012</v>
      </c>
      <c r="B1094" t="s">
        <v>4</v>
      </c>
      <c r="C1094">
        <v>40</v>
      </c>
      <c r="D1094">
        <v>10</v>
      </c>
    </row>
    <row r="1095" spans="1:4" x14ac:dyDescent="0.3">
      <c r="A1095">
        <v>2012</v>
      </c>
      <c r="B1095" t="s">
        <v>4</v>
      </c>
      <c r="C1095">
        <v>45</v>
      </c>
      <c r="D1095">
        <v>2</v>
      </c>
    </row>
    <row r="1096" spans="1:4" x14ac:dyDescent="0.3">
      <c r="A1096">
        <v>2012</v>
      </c>
      <c r="B1096" t="s">
        <v>4</v>
      </c>
      <c r="C1096">
        <v>50</v>
      </c>
      <c r="D1096">
        <v>8</v>
      </c>
    </row>
    <row r="1097" spans="1:4" x14ac:dyDescent="0.3">
      <c r="A1097">
        <v>2012</v>
      </c>
      <c r="B1097" t="s">
        <v>4</v>
      </c>
      <c r="C1097">
        <v>55</v>
      </c>
      <c r="D1097">
        <v>6</v>
      </c>
    </row>
    <row r="1098" spans="1:4" x14ac:dyDescent="0.3">
      <c r="A1098">
        <v>2012</v>
      </c>
      <c r="B1098" t="s">
        <v>4</v>
      </c>
      <c r="C1098">
        <v>60</v>
      </c>
      <c r="D1098">
        <v>6</v>
      </c>
    </row>
    <row r="1099" spans="1:4" x14ac:dyDescent="0.3">
      <c r="A1099">
        <v>2012</v>
      </c>
      <c r="B1099" t="s">
        <v>4</v>
      </c>
      <c r="C1099">
        <v>65</v>
      </c>
      <c r="D1099">
        <v>4</v>
      </c>
    </row>
    <row r="1100" spans="1:4" x14ac:dyDescent="0.3">
      <c r="A1100">
        <v>2012</v>
      </c>
      <c r="B1100" t="s">
        <v>4</v>
      </c>
      <c r="C1100">
        <v>70</v>
      </c>
      <c r="D1100">
        <v>2</v>
      </c>
    </row>
    <row r="1101" spans="1:4" x14ac:dyDescent="0.3">
      <c r="A1101">
        <v>2012</v>
      </c>
      <c r="B1101" t="s">
        <v>4</v>
      </c>
      <c r="C1101">
        <v>75</v>
      </c>
      <c r="D1101">
        <v>0</v>
      </c>
    </row>
    <row r="1102" spans="1:4" x14ac:dyDescent="0.3">
      <c r="A1102">
        <v>2012</v>
      </c>
      <c r="B1102" t="s">
        <v>4</v>
      </c>
      <c r="C1102">
        <v>80</v>
      </c>
      <c r="D1102">
        <v>0</v>
      </c>
    </row>
    <row r="1103" spans="1:4" x14ac:dyDescent="0.3">
      <c r="A1103">
        <v>2012</v>
      </c>
      <c r="B1103" t="s">
        <v>4</v>
      </c>
      <c r="C1103">
        <v>85</v>
      </c>
      <c r="D1103">
        <v>2</v>
      </c>
    </row>
    <row r="1104" spans="1:4" x14ac:dyDescent="0.3">
      <c r="A1104">
        <v>2013</v>
      </c>
      <c r="B1104" t="s">
        <v>4</v>
      </c>
      <c r="C1104">
        <v>0</v>
      </c>
      <c r="D1104">
        <v>0</v>
      </c>
    </row>
    <row r="1105" spans="1:4" x14ac:dyDescent="0.3">
      <c r="A1105">
        <v>2013</v>
      </c>
      <c r="B1105" t="s">
        <v>4</v>
      </c>
      <c r="C1105">
        <v>1</v>
      </c>
      <c r="D1105">
        <v>0</v>
      </c>
    </row>
    <row r="1106" spans="1:4" x14ac:dyDescent="0.3">
      <c r="A1106">
        <v>2013</v>
      </c>
      <c r="B1106" t="s">
        <v>4</v>
      </c>
      <c r="C1106">
        <v>5</v>
      </c>
      <c r="D1106">
        <v>0</v>
      </c>
    </row>
    <row r="1107" spans="1:4" x14ac:dyDescent="0.3">
      <c r="A1107">
        <v>2013</v>
      </c>
      <c r="B1107" t="s">
        <v>4</v>
      </c>
      <c r="C1107">
        <v>10</v>
      </c>
      <c r="D1107">
        <v>0</v>
      </c>
    </row>
    <row r="1108" spans="1:4" x14ac:dyDescent="0.3">
      <c r="A1108">
        <v>2013</v>
      </c>
      <c r="B1108" t="s">
        <v>4</v>
      </c>
      <c r="C1108">
        <v>15</v>
      </c>
      <c r="D1108">
        <v>10</v>
      </c>
    </row>
    <row r="1109" spans="1:4" x14ac:dyDescent="0.3">
      <c r="A1109">
        <v>2013</v>
      </c>
      <c r="B1109" t="s">
        <v>4</v>
      </c>
      <c r="C1109">
        <v>20</v>
      </c>
      <c r="D1109">
        <v>8</v>
      </c>
    </row>
    <row r="1110" spans="1:4" x14ac:dyDescent="0.3">
      <c r="A1110">
        <v>2013</v>
      </c>
      <c r="B1110" t="s">
        <v>4</v>
      </c>
      <c r="C1110">
        <v>25</v>
      </c>
      <c r="D1110">
        <v>6</v>
      </c>
    </row>
    <row r="1111" spans="1:4" x14ac:dyDescent="0.3">
      <c r="A1111">
        <v>2013</v>
      </c>
      <c r="B1111" t="s">
        <v>4</v>
      </c>
      <c r="C1111">
        <v>30</v>
      </c>
      <c r="D1111">
        <v>16</v>
      </c>
    </row>
    <row r="1112" spans="1:4" x14ac:dyDescent="0.3">
      <c r="A1112">
        <v>2013</v>
      </c>
      <c r="B1112" t="s">
        <v>4</v>
      </c>
      <c r="C1112">
        <v>35</v>
      </c>
      <c r="D1112">
        <v>8</v>
      </c>
    </row>
    <row r="1113" spans="1:4" x14ac:dyDescent="0.3">
      <c r="A1113">
        <v>2013</v>
      </c>
      <c r="B1113" t="s">
        <v>4</v>
      </c>
      <c r="C1113">
        <v>40</v>
      </c>
      <c r="D1113">
        <v>0</v>
      </c>
    </row>
    <row r="1114" spans="1:4" x14ac:dyDescent="0.3">
      <c r="A1114">
        <v>2013</v>
      </c>
      <c r="B1114" t="s">
        <v>4</v>
      </c>
      <c r="C1114">
        <v>45</v>
      </c>
      <c r="D1114">
        <v>10</v>
      </c>
    </row>
    <row r="1115" spans="1:4" x14ac:dyDescent="0.3">
      <c r="A1115">
        <v>2013</v>
      </c>
      <c r="B1115" t="s">
        <v>4</v>
      </c>
      <c r="C1115">
        <v>50</v>
      </c>
      <c r="D1115">
        <v>6</v>
      </c>
    </row>
    <row r="1116" spans="1:4" x14ac:dyDescent="0.3">
      <c r="A1116">
        <v>2013</v>
      </c>
      <c r="B1116" t="s">
        <v>4</v>
      </c>
      <c r="C1116">
        <v>55</v>
      </c>
      <c r="D1116">
        <v>4</v>
      </c>
    </row>
    <row r="1117" spans="1:4" x14ac:dyDescent="0.3">
      <c r="A1117">
        <v>2013</v>
      </c>
      <c r="B1117" t="s">
        <v>4</v>
      </c>
      <c r="C1117">
        <v>60</v>
      </c>
      <c r="D1117">
        <v>4</v>
      </c>
    </row>
    <row r="1118" spans="1:4" x14ac:dyDescent="0.3">
      <c r="A1118">
        <v>2013</v>
      </c>
      <c r="B1118" t="s">
        <v>4</v>
      </c>
      <c r="C1118">
        <v>65</v>
      </c>
      <c r="D1118">
        <v>4</v>
      </c>
    </row>
    <row r="1119" spans="1:4" x14ac:dyDescent="0.3">
      <c r="A1119">
        <v>2013</v>
      </c>
      <c r="B1119" t="s">
        <v>4</v>
      </c>
      <c r="C1119">
        <v>70</v>
      </c>
      <c r="D1119">
        <v>0</v>
      </c>
    </row>
    <row r="1120" spans="1:4" x14ac:dyDescent="0.3">
      <c r="A1120">
        <v>2013</v>
      </c>
      <c r="B1120" t="s">
        <v>4</v>
      </c>
      <c r="C1120">
        <v>75</v>
      </c>
      <c r="D1120">
        <v>0</v>
      </c>
    </row>
    <row r="1121" spans="1:4" x14ac:dyDescent="0.3">
      <c r="A1121">
        <v>2013</v>
      </c>
      <c r="B1121" t="s">
        <v>4</v>
      </c>
      <c r="C1121">
        <v>80</v>
      </c>
      <c r="D1121">
        <v>0</v>
      </c>
    </row>
    <row r="1122" spans="1:4" x14ac:dyDescent="0.3">
      <c r="A1122">
        <v>2013</v>
      </c>
      <c r="B1122" t="s">
        <v>4</v>
      </c>
      <c r="C1122">
        <v>85</v>
      </c>
      <c r="D1122">
        <v>0</v>
      </c>
    </row>
    <row r="1123" spans="1:4" x14ac:dyDescent="0.3">
      <c r="A1123">
        <v>2014</v>
      </c>
      <c r="B1123" t="s">
        <v>4</v>
      </c>
      <c r="C1123">
        <v>0</v>
      </c>
      <c r="D1123">
        <v>2</v>
      </c>
    </row>
    <row r="1124" spans="1:4" x14ac:dyDescent="0.3">
      <c r="A1124">
        <v>2014</v>
      </c>
      <c r="B1124" t="s">
        <v>4</v>
      </c>
      <c r="C1124">
        <v>1</v>
      </c>
      <c r="D1124">
        <v>0</v>
      </c>
    </row>
    <row r="1125" spans="1:4" x14ac:dyDescent="0.3">
      <c r="A1125">
        <v>2014</v>
      </c>
      <c r="B1125" t="s">
        <v>4</v>
      </c>
      <c r="C1125">
        <v>5</v>
      </c>
      <c r="D1125">
        <v>0</v>
      </c>
    </row>
    <row r="1126" spans="1:4" x14ac:dyDescent="0.3">
      <c r="A1126">
        <v>2014</v>
      </c>
      <c r="B1126" t="s">
        <v>4</v>
      </c>
      <c r="C1126">
        <v>10</v>
      </c>
      <c r="D1126">
        <v>0</v>
      </c>
    </row>
    <row r="1127" spans="1:4" x14ac:dyDescent="0.3">
      <c r="A1127">
        <v>2014</v>
      </c>
      <c r="B1127" t="s">
        <v>4</v>
      </c>
      <c r="C1127">
        <v>15</v>
      </c>
      <c r="D1127">
        <v>8</v>
      </c>
    </row>
    <row r="1128" spans="1:4" x14ac:dyDescent="0.3">
      <c r="A1128">
        <v>2014</v>
      </c>
      <c r="B1128" t="s">
        <v>4</v>
      </c>
      <c r="C1128">
        <v>20</v>
      </c>
      <c r="D1128">
        <v>10</v>
      </c>
    </row>
    <row r="1129" spans="1:4" x14ac:dyDescent="0.3">
      <c r="A1129">
        <v>2014</v>
      </c>
      <c r="B1129" t="s">
        <v>4</v>
      </c>
      <c r="C1129">
        <v>25</v>
      </c>
      <c r="D1129">
        <v>12</v>
      </c>
    </row>
    <row r="1130" spans="1:4" x14ac:dyDescent="0.3">
      <c r="A1130">
        <v>2014</v>
      </c>
      <c r="B1130" t="s">
        <v>4</v>
      </c>
      <c r="C1130">
        <v>30</v>
      </c>
      <c r="D1130">
        <v>4</v>
      </c>
    </row>
    <row r="1131" spans="1:4" x14ac:dyDescent="0.3">
      <c r="A1131">
        <v>2014</v>
      </c>
      <c r="B1131" t="s">
        <v>4</v>
      </c>
      <c r="C1131">
        <v>35</v>
      </c>
      <c r="D1131">
        <v>6</v>
      </c>
    </row>
    <row r="1132" spans="1:4" x14ac:dyDescent="0.3">
      <c r="A1132">
        <v>2014</v>
      </c>
      <c r="B1132" t="s">
        <v>4</v>
      </c>
      <c r="C1132">
        <v>40</v>
      </c>
      <c r="D1132">
        <v>6</v>
      </c>
    </row>
    <row r="1133" spans="1:4" x14ac:dyDescent="0.3">
      <c r="A1133">
        <v>2014</v>
      </c>
      <c r="B1133" t="s">
        <v>4</v>
      </c>
      <c r="C1133">
        <v>45</v>
      </c>
      <c r="D1133">
        <v>8</v>
      </c>
    </row>
    <row r="1134" spans="1:4" x14ac:dyDescent="0.3">
      <c r="A1134">
        <v>2014</v>
      </c>
      <c r="B1134" t="s">
        <v>4</v>
      </c>
      <c r="C1134">
        <v>50</v>
      </c>
      <c r="D1134">
        <v>10</v>
      </c>
    </row>
    <row r="1135" spans="1:4" x14ac:dyDescent="0.3">
      <c r="A1135">
        <v>2014</v>
      </c>
      <c r="B1135" t="s">
        <v>4</v>
      </c>
      <c r="C1135">
        <v>55</v>
      </c>
      <c r="D1135">
        <v>14</v>
      </c>
    </row>
    <row r="1136" spans="1:4" x14ac:dyDescent="0.3">
      <c r="A1136">
        <v>2014</v>
      </c>
      <c r="B1136" t="s">
        <v>4</v>
      </c>
      <c r="C1136">
        <v>60</v>
      </c>
      <c r="D1136">
        <v>2</v>
      </c>
    </row>
    <row r="1137" spans="1:4" x14ac:dyDescent="0.3">
      <c r="A1137">
        <v>2014</v>
      </c>
      <c r="B1137" t="s">
        <v>4</v>
      </c>
      <c r="C1137">
        <v>65</v>
      </c>
      <c r="D1137">
        <v>0</v>
      </c>
    </row>
    <row r="1138" spans="1:4" x14ac:dyDescent="0.3">
      <c r="A1138">
        <v>2014</v>
      </c>
      <c r="B1138" t="s">
        <v>4</v>
      </c>
      <c r="C1138">
        <v>70</v>
      </c>
      <c r="D1138">
        <v>2</v>
      </c>
    </row>
    <row r="1139" spans="1:4" x14ac:dyDescent="0.3">
      <c r="A1139">
        <v>2014</v>
      </c>
      <c r="B1139" t="s">
        <v>4</v>
      </c>
      <c r="C1139">
        <v>75</v>
      </c>
      <c r="D1139">
        <v>2</v>
      </c>
    </row>
    <row r="1140" spans="1:4" x14ac:dyDescent="0.3">
      <c r="A1140">
        <v>2014</v>
      </c>
      <c r="B1140" t="s">
        <v>4</v>
      </c>
      <c r="C1140">
        <v>80</v>
      </c>
      <c r="D1140">
        <v>0</v>
      </c>
    </row>
    <row r="1141" spans="1:4" x14ac:dyDescent="0.3">
      <c r="A1141">
        <v>2014</v>
      </c>
      <c r="B1141" t="s">
        <v>4</v>
      </c>
      <c r="C1141">
        <v>85</v>
      </c>
      <c r="D1141">
        <v>0</v>
      </c>
    </row>
    <row r="1142" spans="1:4" x14ac:dyDescent="0.3">
      <c r="A1142">
        <v>2015</v>
      </c>
      <c r="B1142" t="s">
        <v>4</v>
      </c>
      <c r="C1142">
        <v>0</v>
      </c>
      <c r="D1142">
        <v>0</v>
      </c>
    </row>
    <row r="1143" spans="1:4" x14ac:dyDescent="0.3">
      <c r="A1143">
        <v>2015</v>
      </c>
      <c r="B1143" t="s">
        <v>4</v>
      </c>
      <c r="C1143">
        <v>1</v>
      </c>
      <c r="D1143">
        <v>2</v>
      </c>
    </row>
    <row r="1144" spans="1:4" x14ac:dyDescent="0.3">
      <c r="A1144">
        <v>2015</v>
      </c>
      <c r="B1144" t="s">
        <v>4</v>
      </c>
      <c r="C1144">
        <v>5</v>
      </c>
      <c r="D1144">
        <v>0</v>
      </c>
    </row>
    <row r="1145" spans="1:4" x14ac:dyDescent="0.3">
      <c r="A1145">
        <v>2015</v>
      </c>
      <c r="B1145" t="s">
        <v>4</v>
      </c>
      <c r="C1145">
        <v>10</v>
      </c>
      <c r="D1145">
        <v>0</v>
      </c>
    </row>
    <row r="1146" spans="1:4" x14ac:dyDescent="0.3">
      <c r="A1146">
        <v>2015</v>
      </c>
      <c r="B1146" t="s">
        <v>4</v>
      </c>
      <c r="C1146">
        <v>15</v>
      </c>
      <c r="D1146">
        <v>12</v>
      </c>
    </row>
    <row r="1147" spans="1:4" x14ac:dyDescent="0.3">
      <c r="A1147">
        <v>2015</v>
      </c>
      <c r="B1147" t="s">
        <v>4</v>
      </c>
      <c r="C1147">
        <v>20</v>
      </c>
      <c r="D1147">
        <v>16</v>
      </c>
    </row>
    <row r="1148" spans="1:4" x14ac:dyDescent="0.3">
      <c r="A1148">
        <v>2015</v>
      </c>
      <c r="B1148" t="s">
        <v>4</v>
      </c>
      <c r="C1148">
        <v>25</v>
      </c>
      <c r="D1148">
        <v>8</v>
      </c>
    </row>
    <row r="1149" spans="1:4" x14ac:dyDescent="0.3">
      <c r="A1149">
        <v>2015</v>
      </c>
      <c r="B1149" t="s">
        <v>4</v>
      </c>
      <c r="C1149">
        <v>30</v>
      </c>
      <c r="D1149">
        <v>10</v>
      </c>
    </row>
    <row r="1150" spans="1:4" x14ac:dyDescent="0.3">
      <c r="A1150">
        <v>2015</v>
      </c>
      <c r="B1150" t="s">
        <v>4</v>
      </c>
      <c r="C1150">
        <v>35</v>
      </c>
      <c r="D1150">
        <v>8</v>
      </c>
    </row>
    <row r="1151" spans="1:4" x14ac:dyDescent="0.3">
      <c r="A1151">
        <v>2015</v>
      </c>
      <c r="B1151" t="s">
        <v>4</v>
      </c>
      <c r="C1151">
        <v>40</v>
      </c>
      <c r="D1151">
        <v>4</v>
      </c>
    </row>
    <row r="1152" spans="1:4" x14ac:dyDescent="0.3">
      <c r="A1152">
        <v>2015</v>
      </c>
      <c r="B1152" t="s">
        <v>4</v>
      </c>
      <c r="C1152">
        <v>45</v>
      </c>
      <c r="D1152">
        <v>12</v>
      </c>
    </row>
    <row r="1153" spans="1:4" x14ac:dyDescent="0.3">
      <c r="A1153">
        <v>2015</v>
      </c>
      <c r="B1153" t="s">
        <v>4</v>
      </c>
      <c r="C1153">
        <v>50</v>
      </c>
      <c r="D1153">
        <v>4</v>
      </c>
    </row>
    <row r="1154" spans="1:4" x14ac:dyDescent="0.3">
      <c r="A1154">
        <v>2015</v>
      </c>
      <c r="B1154" t="s">
        <v>4</v>
      </c>
      <c r="C1154">
        <v>55</v>
      </c>
      <c r="D1154">
        <v>6</v>
      </c>
    </row>
    <row r="1155" spans="1:4" x14ac:dyDescent="0.3">
      <c r="A1155">
        <v>2015</v>
      </c>
      <c r="B1155" t="s">
        <v>4</v>
      </c>
      <c r="C1155">
        <v>60</v>
      </c>
      <c r="D1155">
        <v>6</v>
      </c>
    </row>
    <row r="1156" spans="1:4" x14ac:dyDescent="0.3">
      <c r="A1156">
        <v>2015</v>
      </c>
      <c r="B1156" t="s">
        <v>4</v>
      </c>
      <c r="C1156">
        <v>65</v>
      </c>
      <c r="D1156">
        <v>2</v>
      </c>
    </row>
    <row r="1157" spans="1:4" x14ac:dyDescent="0.3">
      <c r="A1157">
        <v>2015</v>
      </c>
      <c r="B1157" t="s">
        <v>4</v>
      </c>
      <c r="C1157">
        <v>70</v>
      </c>
      <c r="D1157">
        <v>2</v>
      </c>
    </row>
    <row r="1158" spans="1:4" x14ac:dyDescent="0.3">
      <c r="A1158">
        <v>2015</v>
      </c>
      <c r="B1158" t="s">
        <v>4</v>
      </c>
      <c r="C1158">
        <v>75</v>
      </c>
      <c r="D1158">
        <v>4</v>
      </c>
    </row>
    <row r="1159" spans="1:4" x14ac:dyDescent="0.3">
      <c r="A1159">
        <v>2015</v>
      </c>
      <c r="B1159" t="s">
        <v>4</v>
      </c>
      <c r="C1159">
        <v>80</v>
      </c>
      <c r="D1159">
        <v>2</v>
      </c>
    </row>
    <row r="1160" spans="1:4" x14ac:dyDescent="0.3">
      <c r="A1160">
        <v>2015</v>
      </c>
      <c r="B1160" t="s">
        <v>4</v>
      </c>
      <c r="C1160">
        <v>85</v>
      </c>
      <c r="D1160">
        <v>0</v>
      </c>
    </row>
    <row r="1161" spans="1:4" x14ac:dyDescent="0.3">
      <c r="A1161">
        <v>2016</v>
      </c>
      <c r="B1161" t="s">
        <v>4</v>
      </c>
      <c r="C1161">
        <v>0</v>
      </c>
      <c r="D1161">
        <v>0</v>
      </c>
    </row>
    <row r="1162" spans="1:4" x14ac:dyDescent="0.3">
      <c r="A1162">
        <v>2016</v>
      </c>
      <c r="B1162" t="s">
        <v>4</v>
      </c>
      <c r="C1162">
        <v>1</v>
      </c>
      <c r="D1162">
        <v>2</v>
      </c>
    </row>
    <row r="1163" spans="1:4" x14ac:dyDescent="0.3">
      <c r="A1163">
        <v>2016</v>
      </c>
      <c r="B1163" t="s">
        <v>4</v>
      </c>
      <c r="C1163">
        <v>5</v>
      </c>
      <c r="D1163">
        <v>0</v>
      </c>
    </row>
    <row r="1164" spans="1:4" x14ac:dyDescent="0.3">
      <c r="A1164">
        <v>2016</v>
      </c>
      <c r="B1164" t="s">
        <v>4</v>
      </c>
      <c r="C1164">
        <v>10</v>
      </c>
      <c r="D1164">
        <v>0</v>
      </c>
    </row>
    <row r="1165" spans="1:4" x14ac:dyDescent="0.3">
      <c r="A1165">
        <v>2016</v>
      </c>
      <c r="B1165" t="s">
        <v>4</v>
      </c>
      <c r="C1165">
        <v>15</v>
      </c>
      <c r="D1165">
        <v>6</v>
      </c>
    </row>
    <row r="1166" spans="1:4" x14ac:dyDescent="0.3">
      <c r="A1166">
        <v>2016</v>
      </c>
      <c r="B1166" t="s">
        <v>4</v>
      </c>
      <c r="C1166">
        <v>20</v>
      </c>
      <c r="D1166">
        <v>4</v>
      </c>
    </row>
    <row r="1167" spans="1:4" x14ac:dyDescent="0.3">
      <c r="A1167">
        <v>2016</v>
      </c>
      <c r="B1167" t="s">
        <v>4</v>
      </c>
      <c r="C1167">
        <v>25</v>
      </c>
      <c r="D1167">
        <v>10</v>
      </c>
    </row>
    <row r="1168" spans="1:4" x14ac:dyDescent="0.3">
      <c r="A1168">
        <v>2016</v>
      </c>
      <c r="B1168" t="s">
        <v>4</v>
      </c>
      <c r="C1168">
        <v>30</v>
      </c>
      <c r="D1168">
        <v>8</v>
      </c>
    </row>
    <row r="1169" spans="1:4" x14ac:dyDescent="0.3">
      <c r="A1169">
        <v>2016</v>
      </c>
      <c r="B1169" t="s">
        <v>4</v>
      </c>
      <c r="C1169">
        <v>35</v>
      </c>
      <c r="D1169">
        <v>10</v>
      </c>
    </row>
    <row r="1170" spans="1:4" x14ac:dyDescent="0.3">
      <c r="A1170">
        <v>2016</v>
      </c>
      <c r="B1170" t="s">
        <v>4</v>
      </c>
      <c r="C1170">
        <v>40</v>
      </c>
      <c r="D1170">
        <v>22</v>
      </c>
    </row>
    <row r="1171" spans="1:4" x14ac:dyDescent="0.3">
      <c r="A1171">
        <v>2016</v>
      </c>
      <c r="B1171" t="s">
        <v>4</v>
      </c>
      <c r="C1171">
        <v>45</v>
      </c>
      <c r="D1171">
        <v>12</v>
      </c>
    </row>
    <row r="1172" spans="1:4" x14ac:dyDescent="0.3">
      <c r="A1172">
        <v>2016</v>
      </c>
      <c r="B1172" t="s">
        <v>4</v>
      </c>
      <c r="C1172">
        <v>50</v>
      </c>
      <c r="D1172">
        <v>10</v>
      </c>
    </row>
    <row r="1173" spans="1:4" x14ac:dyDescent="0.3">
      <c r="A1173">
        <v>2016</v>
      </c>
      <c r="B1173" t="s">
        <v>4</v>
      </c>
      <c r="C1173">
        <v>55</v>
      </c>
      <c r="D1173">
        <v>2</v>
      </c>
    </row>
    <row r="1174" spans="1:4" x14ac:dyDescent="0.3">
      <c r="A1174">
        <v>2016</v>
      </c>
      <c r="B1174" t="s">
        <v>4</v>
      </c>
      <c r="C1174">
        <v>60</v>
      </c>
      <c r="D1174">
        <v>14</v>
      </c>
    </row>
    <row r="1175" spans="1:4" x14ac:dyDescent="0.3">
      <c r="A1175">
        <v>2016</v>
      </c>
      <c r="B1175" t="s">
        <v>4</v>
      </c>
      <c r="C1175">
        <v>65</v>
      </c>
      <c r="D1175">
        <v>6</v>
      </c>
    </row>
    <row r="1176" spans="1:4" x14ac:dyDescent="0.3">
      <c r="A1176">
        <v>2016</v>
      </c>
      <c r="B1176" t="s">
        <v>4</v>
      </c>
      <c r="C1176">
        <v>70</v>
      </c>
      <c r="D1176">
        <v>6</v>
      </c>
    </row>
    <row r="1177" spans="1:4" x14ac:dyDescent="0.3">
      <c r="A1177">
        <v>2016</v>
      </c>
      <c r="B1177" t="s">
        <v>4</v>
      </c>
      <c r="C1177">
        <v>75</v>
      </c>
      <c r="D1177">
        <v>2</v>
      </c>
    </row>
    <row r="1178" spans="1:4" x14ac:dyDescent="0.3">
      <c r="A1178">
        <v>2016</v>
      </c>
      <c r="B1178" t="s">
        <v>4</v>
      </c>
      <c r="C1178">
        <v>80</v>
      </c>
      <c r="D1178">
        <v>0</v>
      </c>
    </row>
    <row r="1179" spans="1:4" x14ac:dyDescent="0.3">
      <c r="A1179">
        <v>2016</v>
      </c>
      <c r="B1179" t="s">
        <v>4</v>
      </c>
      <c r="C1179">
        <v>85</v>
      </c>
      <c r="D1179">
        <v>2</v>
      </c>
    </row>
    <row r="1180" spans="1:4" x14ac:dyDescent="0.3">
      <c r="A1180">
        <v>2017</v>
      </c>
      <c r="B1180" t="s">
        <v>4</v>
      </c>
      <c r="C1180">
        <v>0</v>
      </c>
      <c r="D1180">
        <v>0</v>
      </c>
    </row>
    <row r="1181" spans="1:4" x14ac:dyDescent="0.3">
      <c r="A1181">
        <v>2017</v>
      </c>
      <c r="B1181" t="s">
        <v>4</v>
      </c>
      <c r="C1181">
        <v>1</v>
      </c>
      <c r="D1181">
        <v>2</v>
      </c>
    </row>
    <row r="1182" spans="1:4" x14ac:dyDescent="0.3">
      <c r="A1182">
        <v>2017</v>
      </c>
      <c r="B1182" t="s">
        <v>4</v>
      </c>
      <c r="C1182">
        <v>5</v>
      </c>
      <c r="D1182">
        <v>0</v>
      </c>
    </row>
    <row r="1183" spans="1:4" x14ac:dyDescent="0.3">
      <c r="A1183">
        <v>2017</v>
      </c>
      <c r="B1183" t="s">
        <v>4</v>
      </c>
      <c r="C1183">
        <v>10</v>
      </c>
      <c r="D1183">
        <v>0</v>
      </c>
    </row>
    <row r="1184" spans="1:4" x14ac:dyDescent="0.3">
      <c r="A1184">
        <v>2017</v>
      </c>
      <c r="B1184" t="s">
        <v>4</v>
      </c>
      <c r="C1184">
        <v>15</v>
      </c>
      <c r="D1184">
        <v>4</v>
      </c>
    </row>
    <row r="1185" spans="1:4" x14ac:dyDescent="0.3">
      <c r="A1185">
        <v>2017</v>
      </c>
      <c r="B1185" t="s">
        <v>4</v>
      </c>
      <c r="C1185">
        <v>20</v>
      </c>
      <c r="D1185">
        <v>10</v>
      </c>
    </row>
    <row r="1186" spans="1:4" x14ac:dyDescent="0.3">
      <c r="A1186">
        <v>2017</v>
      </c>
      <c r="B1186" t="s">
        <v>4</v>
      </c>
      <c r="C1186">
        <v>25</v>
      </c>
      <c r="D1186">
        <v>4</v>
      </c>
    </row>
    <row r="1187" spans="1:4" x14ac:dyDescent="0.3">
      <c r="A1187">
        <v>2017</v>
      </c>
      <c r="B1187" t="s">
        <v>4</v>
      </c>
      <c r="C1187">
        <v>30</v>
      </c>
      <c r="D1187">
        <v>8</v>
      </c>
    </row>
    <row r="1188" spans="1:4" x14ac:dyDescent="0.3">
      <c r="A1188">
        <v>2017</v>
      </c>
      <c r="B1188" t="s">
        <v>4</v>
      </c>
      <c r="C1188">
        <v>35</v>
      </c>
      <c r="D1188">
        <v>10</v>
      </c>
    </row>
    <row r="1189" spans="1:4" x14ac:dyDescent="0.3">
      <c r="A1189">
        <v>2017</v>
      </c>
      <c r="B1189" t="s">
        <v>4</v>
      </c>
      <c r="C1189">
        <v>40</v>
      </c>
      <c r="D1189">
        <v>12</v>
      </c>
    </row>
    <row r="1190" spans="1:4" x14ac:dyDescent="0.3">
      <c r="A1190">
        <v>2017</v>
      </c>
      <c r="B1190" t="s">
        <v>4</v>
      </c>
      <c r="C1190">
        <v>45</v>
      </c>
      <c r="D1190">
        <v>4</v>
      </c>
    </row>
    <row r="1191" spans="1:4" x14ac:dyDescent="0.3">
      <c r="A1191">
        <v>2017</v>
      </c>
      <c r="B1191" t="s">
        <v>4</v>
      </c>
      <c r="C1191">
        <v>50</v>
      </c>
      <c r="D1191">
        <v>8</v>
      </c>
    </row>
    <row r="1192" spans="1:4" x14ac:dyDescent="0.3">
      <c r="A1192">
        <v>2017</v>
      </c>
      <c r="B1192" t="s">
        <v>4</v>
      </c>
      <c r="C1192">
        <v>55</v>
      </c>
      <c r="D1192">
        <v>2</v>
      </c>
    </row>
    <row r="1193" spans="1:4" x14ac:dyDescent="0.3">
      <c r="A1193">
        <v>2017</v>
      </c>
      <c r="B1193" t="s">
        <v>4</v>
      </c>
      <c r="C1193">
        <v>60</v>
      </c>
      <c r="D1193">
        <v>2</v>
      </c>
    </row>
    <row r="1194" spans="1:4" x14ac:dyDescent="0.3">
      <c r="A1194">
        <v>2017</v>
      </c>
      <c r="B1194" t="s">
        <v>4</v>
      </c>
      <c r="C1194">
        <v>65</v>
      </c>
      <c r="D1194">
        <v>2</v>
      </c>
    </row>
    <row r="1195" spans="1:4" x14ac:dyDescent="0.3">
      <c r="A1195">
        <v>2017</v>
      </c>
      <c r="B1195" t="s">
        <v>4</v>
      </c>
      <c r="C1195">
        <v>70</v>
      </c>
      <c r="D1195">
        <v>6</v>
      </c>
    </row>
    <row r="1196" spans="1:4" x14ac:dyDescent="0.3">
      <c r="A1196">
        <v>2017</v>
      </c>
      <c r="B1196" t="s">
        <v>4</v>
      </c>
      <c r="C1196">
        <v>75</v>
      </c>
      <c r="D1196">
        <v>4</v>
      </c>
    </row>
    <row r="1197" spans="1:4" x14ac:dyDescent="0.3">
      <c r="A1197">
        <v>2017</v>
      </c>
      <c r="B1197" t="s">
        <v>4</v>
      </c>
      <c r="C1197">
        <v>80</v>
      </c>
      <c r="D1197">
        <v>0</v>
      </c>
    </row>
    <row r="1198" spans="1:4" x14ac:dyDescent="0.3">
      <c r="A1198">
        <v>2017</v>
      </c>
      <c r="B1198" t="s">
        <v>4</v>
      </c>
      <c r="C1198">
        <v>85</v>
      </c>
      <c r="D1198">
        <v>0</v>
      </c>
    </row>
    <row r="1199" spans="1:4" x14ac:dyDescent="0.3">
      <c r="A1199">
        <v>2018</v>
      </c>
      <c r="B1199" t="s">
        <v>4</v>
      </c>
      <c r="C1199">
        <v>0</v>
      </c>
      <c r="D1199">
        <v>0</v>
      </c>
    </row>
    <row r="1200" spans="1:4" x14ac:dyDescent="0.3">
      <c r="A1200">
        <v>2018</v>
      </c>
      <c r="B1200" t="s">
        <v>4</v>
      </c>
      <c r="C1200">
        <v>1</v>
      </c>
      <c r="D1200">
        <v>0</v>
      </c>
    </row>
    <row r="1201" spans="1:4" x14ac:dyDescent="0.3">
      <c r="A1201">
        <v>2018</v>
      </c>
      <c r="B1201" t="s">
        <v>4</v>
      </c>
      <c r="C1201">
        <v>5</v>
      </c>
      <c r="D1201">
        <v>0</v>
      </c>
    </row>
    <row r="1202" spans="1:4" x14ac:dyDescent="0.3">
      <c r="A1202">
        <v>2018</v>
      </c>
      <c r="B1202" t="s">
        <v>4</v>
      </c>
      <c r="C1202">
        <v>10</v>
      </c>
      <c r="D1202">
        <v>0</v>
      </c>
    </row>
    <row r="1203" spans="1:4" x14ac:dyDescent="0.3">
      <c r="A1203">
        <v>2018</v>
      </c>
      <c r="B1203" t="s">
        <v>4</v>
      </c>
      <c r="C1203">
        <v>15</v>
      </c>
      <c r="D1203">
        <v>0</v>
      </c>
    </row>
    <row r="1204" spans="1:4" x14ac:dyDescent="0.3">
      <c r="A1204">
        <v>2018</v>
      </c>
      <c r="B1204" t="s">
        <v>4</v>
      </c>
      <c r="C1204">
        <v>20</v>
      </c>
      <c r="D1204">
        <v>10</v>
      </c>
    </row>
    <row r="1205" spans="1:4" x14ac:dyDescent="0.3">
      <c r="A1205">
        <v>2018</v>
      </c>
      <c r="B1205" t="s">
        <v>4</v>
      </c>
      <c r="C1205">
        <v>25</v>
      </c>
      <c r="D1205">
        <v>16</v>
      </c>
    </row>
    <row r="1206" spans="1:4" x14ac:dyDescent="0.3">
      <c r="A1206">
        <v>2018</v>
      </c>
      <c r="B1206" t="s">
        <v>4</v>
      </c>
      <c r="C1206">
        <v>30</v>
      </c>
      <c r="D1206">
        <v>12</v>
      </c>
    </row>
    <row r="1207" spans="1:4" x14ac:dyDescent="0.3">
      <c r="A1207">
        <v>2018</v>
      </c>
      <c r="B1207" t="s">
        <v>4</v>
      </c>
      <c r="C1207">
        <v>35</v>
      </c>
      <c r="D1207">
        <v>16</v>
      </c>
    </row>
    <row r="1208" spans="1:4" x14ac:dyDescent="0.3">
      <c r="A1208">
        <v>2018</v>
      </c>
      <c r="B1208" t="s">
        <v>4</v>
      </c>
      <c r="C1208">
        <v>40</v>
      </c>
      <c r="D1208">
        <v>10</v>
      </c>
    </row>
    <row r="1209" spans="1:4" x14ac:dyDescent="0.3">
      <c r="A1209">
        <v>2018</v>
      </c>
      <c r="B1209" t="s">
        <v>4</v>
      </c>
      <c r="C1209">
        <v>45</v>
      </c>
      <c r="D1209">
        <v>14</v>
      </c>
    </row>
    <row r="1210" spans="1:4" x14ac:dyDescent="0.3">
      <c r="A1210">
        <v>2018</v>
      </c>
      <c r="B1210" t="s">
        <v>4</v>
      </c>
      <c r="C1210">
        <v>50</v>
      </c>
      <c r="D1210">
        <v>6</v>
      </c>
    </row>
    <row r="1211" spans="1:4" x14ac:dyDescent="0.3">
      <c r="A1211">
        <v>2018</v>
      </c>
      <c r="B1211" t="s">
        <v>4</v>
      </c>
      <c r="C1211">
        <v>55</v>
      </c>
      <c r="D1211">
        <v>8</v>
      </c>
    </row>
    <row r="1212" spans="1:4" x14ac:dyDescent="0.3">
      <c r="A1212">
        <v>2018</v>
      </c>
      <c r="B1212" t="s">
        <v>4</v>
      </c>
      <c r="C1212">
        <v>60</v>
      </c>
      <c r="D1212">
        <v>4</v>
      </c>
    </row>
    <row r="1213" spans="1:4" x14ac:dyDescent="0.3">
      <c r="A1213">
        <v>2018</v>
      </c>
      <c r="B1213" t="s">
        <v>4</v>
      </c>
      <c r="C1213">
        <v>65</v>
      </c>
      <c r="D1213">
        <v>2</v>
      </c>
    </row>
    <row r="1214" spans="1:4" x14ac:dyDescent="0.3">
      <c r="A1214">
        <v>2018</v>
      </c>
      <c r="B1214" t="s">
        <v>4</v>
      </c>
      <c r="C1214">
        <v>70</v>
      </c>
      <c r="D1214">
        <v>0</v>
      </c>
    </row>
    <row r="1215" spans="1:4" x14ac:dyDescent="0.3">
      <c r="A1215">
        <v>2018</v>
      </c>
      <c r="B1215" t="s">
        <v>4</v>
      </c>
      <c r="C1215">
        <v>75</v>
      </c>
      <c r="D1215">
        <v>4</v>
      </c>
    </row>
    <row r="1216" spans="1:4" x14ac:dyDescent="0.3">
      <c r="A1216">
        <v>2018</v>
      </c>
      <c r="B1216" t="s">
        <v>4</v>
      </c>
      <c r="C1216">
        <v>80</v>
      </c>
      <c r="D1216">
        <v>0</v>
      </c>
    </row>
    <row r="1217" spans="1:4" x14ac:dyDescent="0.3">
      <c r="A1217">
        <v>2018</v>
      </c>
      <c r="B1217" t="s">
        <v>4</v>
      </c>
      <c r="C1217">
        <v>85</v>
      </c>
      <c r="D1217">
        <v>2</v>
      </c>
    </row>
    <row r="1218" spans="1:4" x14ac:dyDescent="0.3">
      <c r="A1218">
        <v>2019</v>
      </c>
      <c r="B1218" t="s">
        <v>4</v>
      </c>
      <c r="C1218">
        <v>0</v>
      </c>
      <c r="D1218" s="56">
        <v>2</v>
      </c>
    </row>
    <row r="1219" spans="1:4" x14ac:dyDescent="0.3">
      <c r="A1219">
        <v>2019</v>
      </c>
      <c r="B1219" t="s">
        <v>4</v>
      </c>
      <c r="C1219">
        <v>1</v>
      </c>
      <c r="D1219" s="56">
        <v>0</v>
      </c>
    </row>
    <row r="1220" spans="1:4" x14ac:dyDescent="0.3">
      <c r="A1220">
        <v>2019</v>
      </c>
      <c r="B1220" t="s">
        <v>4</v>
      </c>
      <c r="C1220">
        <v>5</v>
      </c>
      <c r="D1220" s="56">
        <v>0</v>
      </c>
    </row>
    <row r="1221" spans="1:4" x14ac:dyDescent="0.3">
      <c r="A1221">
        <v>2019</v>
      </c>
      <c r="B1221" t="s">
        <v>4</v>
      </c>
      <c r="C1221">
        <v>10</v>
      </c>
      <c r="D1221" s="56">
        <v>0</v>
      </c>
    </row>
    <row r="1222" spans="1:4" x14ac:dyDescent="0.3">
      <c r="A1222">
        <v>2019</v>
      </c>
      <c r="B1222" t="s">
        <v>4</v>
      </c>
      <c r="C1222">
        <v>15</v>
      </c>
      <c r="D1222" s="56">
        <v>2</v>
      </c>
    </row>
    <row r="1223" spans="1:4" x14ac:dyDescent="0.3">
      <c r="A1223">
        <v>2019</v>
      </c>
      <c r="B1223" t="s">
        <v>4</v>
      </c>
      <c r="C1223">
        <v>20</v>
      </c>
      <c r="D1223" s="56">
        <v>0</v>
      </c>
    </row>
    <row r="1224" spans="1:4" x14ac:dyDescent="0.3">
      <c r="A1224">
        <v>2019</v>
      </c>
      <c r="B1224" t="s">
        <v>4</v>
      </c>
      <c r="C1224">
        <v>25</v>
      </c>
      <c r="D1224" s="56">
        <v>14</v>
      </c>
    </row>
    <row r="1225" spans="1:4" x14ac:dyDescent="0.3">
      <c r="A1225">
        <v>2019</v>
      </c>
      <c r="B1225" t="s">
        <v>4</v>
      </c>
      <c r="C1225">
        <v>30</v>
      </c>
      <c r="D1225" s="56">
        <v>16</v>
      </c>
    </row>
    <row r="1226" spans="1:4" x14ac:dyDescent="0.3">
      <c r="A1226">
        <v>2019</v>
      </c>
      <c r="B1226" t="s">
        <v>4</v>
      </c>
      <c r="C1226">
        <v>35</v>
      </c>
      <c r="D1226" s="56">
        <v>10</v>
      </c>
    </row>
    <row r="1227" spans="1:4" x14ac:dyDescent="0.3">
      <c r="A1227">
        <v>2019</v>
      </c>
      <c r="B1227" t="s">
        <v>4</v>
      </c>
      <c r="C1227">
        <v>40</v>
      </c>
      <c r="D1227" s="56">
        <v>6</v>
      </c>
    </row>
    <row r="1228" spans="1:4" x14ac:dyDescent="0.3">
      <c r="A1228">
        <v>2019</v>
      </c>
      <c r="B1228" t="s">
        <v>4</v>
      </c>
      <c r="C1228">
        <v>45</v>
      </c>
      <c r="D1228" s="56">
        <v>16</v>
      </c>
    </row>
    <row r="1229" spans="1:4" x14ac:dyDescent="0.3">
      <c r="A1229">
        <v>2019</v>
      </c>
      <c r="B1229" t="s">
        <v>4</v>
      </c>
      <c r="C1229">
        <v>50</v>
      </c>
      <c r="D1229" s="56">
        <v>8</v>
      </c>
    </row>
    <row r="1230" spans="1:4" x14ac:dyDescent="0.3">
      <c r="A1230">
        <v>2019</v>
      </c>
      <c r="B1230" t="s">
        <v>4</v>
      </c>
      <c r="C1230">
        <v>55</v>
      </c>
      <c r="D1230" s="56">
        <v>6</v>
      </c>
    </row>
    <row r="1231" spans="1:4" x14ac:dyDescent="0.3">
      <c r="A1231">
        <v>2019</v>
      </c>
      <c r="B1231" t="s">
        <v>4</v>
      </c>
      <c r="C1231">
        <v>60</v>
      </c>
      <c r="D1231" s="56">
        <v>4</v>
      </c>
    </row>
    <row r="1232" spans="1:4" x14ac:dyDescent="0.3">
      <c r="A1232">
        <v>2019</v>
      </c>
      <c r="B1232" t="s">
        <v>4</v>
      </c>
      <c r="C1232">
        <v>65</v>
      </c>
      <c r="D1232" s="56">
        <v>4</v>
      </c>
    </row>
    <row r="1233" spans="1:4" x14ac:dyDescent="0.3">
      <c r="A1233">
        <v>2019</v>
      </c>
      <c r="B1233" t="s">
        <v>4</v>
      </c>
      <c r="C1233">
        <v>70</v>
      </c>
      <c r="D1233" s="56">
        <v>0</v>
      </c>
    </row>
    <row r="1234" spans="1:4" x14ac:dyDescent="0.3">
      <c r="A1234">
        <v>2019</v>
      </c>
      <c r="B1234" t="s">
        <v>4</v>
      </c>
      <c r="C1234">
        <v>75</v>
      </c>
      <c r="D1234" s="56">
        <v>2</v>
      </c>
    </row>
    <row r="1235" spans="1:4" x14ac:dyDescent="0.3">
      <c r="A1235">
        <v>2019</v>
      </c>
      <c r="B1235" t="s">
        <v>4</v>
      </c>
      <c r="C1235">
        <v>80</v>
      </c>
      <c r="D1235" s="56">
        <v>0</v>
      </c>
    </row>
    <row r="1236" spans="1:4" x14ac:dyDescent="0.3">
      <c r="A1236">
        <v>2019</v>
      </c>
      <c r="B1236" t="s">
        <v>4</v>
      </c>
      <c r="C1236">
        <v>85</v>
      </c>
      <c r="D1236" s="56">
        <v>2</v>
      </c>
    </row>
    <row r="1237" spans="1:4" x14ac:dyDescent="0.3">
      <c r="A1237">
        <v>2020</v>
      </c>
      <c r="B1237" t="s">
        <v>4</v>
      </c>
      <c r="C1237">
        <v>0</v>
      </c>
      <c r="D1237">
        <v>2</v>
      </c>
    </row>
    <row r="1238" spans="1:4" x14ac:dyDescent="0.3">
      <c r="A1238">
        <v>2020</v>
      </c>
      <c r="B1238" t="s">
        <v>4</v>
      </c>
      <c r="C1238">
        <v>1</v>
      </c>
      <c r="D1238">
        <v>4</v>
      </c>
    </row>
    <row r="1239" spans="1:4" x14ac:dyDescent="0.3">
      <c r="A1239">
        <v>2020</v>
      </c>
      <c r="B1239" t="s">
        <v>4</v>
      </c>
      <c r="C1239">
        <v>5</v>
      </c>
      <c r="D1239">
        <v>0</v>
      </c>
    </row>
    <row r="1240" spans="1:4" x14ac:dyDescent="0.3">
      <c r="A1240">
        <v>2020</v>
      </c>
      <c r="B1240" t="s">
        <v>4</v>
      </c>
      <c r="C1240">
        <v>10</v>
      </c>
      <c r="D1240">
        <v>0</v>
      </c>
    </row>
    <row r="1241" spans="1:4" x14ac:dyDescent="0.3">
      <c r="A1241">
        <v>2020</v>
      </c>
      <c r="B1241" t="s">
        <v>4</v>
      </c>
      <c r="C1241">
        <v>15</v>
      </c>
      <c r="D1241">
        <v>6</v>
      </c>
    </row>
    <row r="1242" spans="1:4" x14ac:dyDescent="0.3">
      <c r="A1242">
        <v>2020</v>
      </c>
      <c r="B1242" t="s">
        <v>4</v>
      </c>
      <c r="C1242">
        <v>20</v>
      </c>
      <c r="D1242">
        <v>8</v>
      </c>
    </row>
    <row r="1243" spans="1:4" x14ac:dyDescent="0.3">
      <c r="A1243">
        <v>2020</v>
      </c>
      <c r="B1243" t="s">
        <v>4</v>
      </c>
      <c r="C1243">
        <v>25</v>
      </c>
      <c r="D1243">
        <v>16</v>
      </c>
    </row>
    <row r="1244" spans="1:4" x14ac:dyDescent="0.3">
      <c r="A1244">
        <v>2020</v>
      </c>
      <c r="B1244" t="s">
        <v>4</v>
      </c>
      <c r="C1244">
        <v>30</v>
      </c>
      <c r="D1244">
        <v>10</v>
      </c>
    </row>
    <row r="1245" spans="1:4" x14ac:dyDescent="0.3">
      <c r="A1245">
        <v>2020</v>
      </c>
      <c r="B1245" t="s">
        <v>4</v>
      </c>
      <c r="C1245">
        <v>35</v>
      </c>
      <c r="D1245">
        <v>14</v>
      </c>
    </row>
    <row r="1246" spans="1:4" x14ac:dyDescent="0.3">
      <c r="A1246">
        <v>2020</v>
      </c>
      <c r="B1246" t="s">
        <v>4</v>
      </c>
      <c r="C1246">
        <v>40</v>
      </c>
      <c r="D1246">
        <v>10</v>
      </c>
    </row>
    <row r="1247" spans="1:4" x14ac:dyDescent="0.3">
      <c r="A1247">
        <v>2020</v>
      </c>
      <c r="B1247" t="s">
        <v>4</v>
      </c>
      <c r="C1247">
        <v>45</v>
      </c>
      <c r="D1247">
        <v>8</v>
      </c>
    </row>
    <row r="1248" spans="1:4" x14ac:dyDescent="0.3">
      <c r="A1248">
        <v>2020</v>
      </c>
      <c r="B1248" t="s">
        <v>4</v>
      </c>
      <c r="C1248">
        <v>50</v>
      </c>
      <c r="D1248">
        <v>24</v>
      </c>
    </row>
    <row r="1249" spans="1:4" x14ac:dyDescent="0.3">
      <c r="A1249">
        <v>2020</v>
      </c>
      <c r="B1249" t="s">
        <v>4</v>
      </c>
      <c r="C1249">
        <v>55</v>
      </c>
      <c r="D1249">
        <v>4</v>
      </c>
    </row>
    <row r="1250" spans="1:4" x14ac:dyDescent="0.3">
      <c r="A1250">
        <v>2020</v>
      </c>
      <c r="B1250" t="s">
        <v>4</v>
      </c>
      <c r="C1250">
        <v>60</v>
      </c>
      <c r="D1250">
        <v>6</v>
      </c>
    </row>
    <row r="1251" spans="1:4" x14ac:dyDescent="0.3">
      <c r="A1251">
        <v>2020</v>
      </c>
      <c r="B1251" t="s">
        <v>4</v>
      </c>
      <c r="C1251">
        <v>65</v>
      </c>
      <c r="D1251">
        <v>4</v>
      </c>
    </row>
    <row r="1252" spans="1:4" x14ac:dyDescent="0.3">
      <c r="A1252">
        <v>2020</v>
      </c>
      <c r="B1252" t="s">
        <v>4</v>
      </c>
      <c r="C1252">
        <v>70</v>
      </c>
      <c r="D1252">
        <v>6</v>
      </c>
    </row>
    <row r="1253" spans="1:4" x14ac:dyDescent="0.3">
      <c r="A1253">
        <v>2020</v>
      </c>
      <c r="B1253" t="s">
        <v>4</v>
      </c>
      <c r="C1253">
        <v>75</v>
      </c>
      <c r="D1253">
        <v>4</v>
      </c>
    </row>
    <row r="1254" spans="1:4" x14ac:dyDescent="0.3">
      <c r="A1254">
        <v>2020</v>
      </c>
      <c r="B1254" t="s">
        <v>4</v>
      </c>
      <c r="C1254">
        <v>80</v>
      </c>
      <c r="D1254">
        <v>0</v>
      </c>
    </row>
    <row r="1255" spans="1:4" x14ac:dyDescent="0.3">
      <c r="A1255">
        <v>2020</v>
      </c>
      <c r="B1255" t="s">
        <v>4</v>
      </c>
      <c r="C1255">
        <v>85</v>
      </c>
      <c r="D1255">
        <v>0</v>
      </c>
    </row>
    <row r="1256" spans="1:4" x14ac:dyDescent="0.3">
      <c r="A1256">
        <v>2021</v>
      </c>
      <c r="B1256" t="s">
        <v>4</v>
      </c>
      <c r="C1256">
        <v>0</v>
      </c>
      <c r="D1256">
        <v>0</v>
      </c>
    </row>
    <row r="1257" spans="1:4" x14ac:dyDescent="0.3">
      <c r="A1257">
        <v>2021</v>
      </c>
      <c r="B1257" t="s">
        <v>4</v>
      </c>
      <c r="C1257">
        <v>1</v>
      </c>
      <c r="D1257">
        <v>0</v>
      </c>
    </row>
    <row r="1258" spans="1:4" x14ac:dyDescent="0.3">
      <c r="A1258">
        <v>2021</v>
      </c>
      <c r="B1258" t="s">
        <v>4</v>
      </c>
      <c r="C1258">
        <v>5</v>
      </c>
      <c r="D1258">
        <v>0</v>
      </c>
    </row>
    <row r="1259" spans="1:4" x14ac:dyDescent="0.3">
      <c r="A1259">
        <v>2021</v>
      </c>
      <c r="B1259" t="s">
        <v>4</v>
      </c>
      <c r="C1259">
        <v>10</v>
      </c>
      <c r="D1259">
        <v>2</v>
      </c>
    </row>
    <row r="1260" spans="1:4" x14ac:dyDescent="0.3">
      <c r="A1260">
        <v>2021</v>
      </c>
      <c r="B1260" t="s">
        <v>4</v>
      </c>
      <c r="C1260">
        <v>15</v>
      </c>
      <c r="D1260">
        <v>2</v>
      </c>
    </row>
    <row r="1261" spans="1:4" x14ac:dyDescent="0.3">
      <c r="A1261">
        <v>2021</v>
      </c>
      <c r="B1261" t="s">
        <v>4</v>
      </c>
      <c r="C1261">
        <v>20</v>
      </c>
      <c r="D1261">
        <v>14</v>
      </c>
    </row>
    <row r="1262" spans="1:4" x14ac:dyDescent="0.3">
      <c r="A1262">
        <v>2021</v>
      </c>
      <c r="B1262" t="s">
        <v>4</v>
      </c>
      <c r="C1262">
        <v>25</v>
      </c>
      <c r="D1262">
        <v>10</v>
      </c>
    </row>
    <row r="1263" spans="1:4" x14ac:dyDescent="0.3">
      <c r="A1263">
        <v>2021</v>
      </c>
      <c r="B1263" t="s">
        <v>4</v>
      </c>
      <c r="C1263">
        <v>30</v>
      </c>
      <c r="D1263">
        <v>4</v>
      </c>
    </row>
    <row r="1264" spans="1:4" x14ac:dyDescent="0.3">
      <c r="A1264">
        <v>2021</v>
      </c>
      <c r="B1264" t="s">
        <v>4</v>
      </c>
      <c r="C1264">
        <v>35</v>
      </c>
      <c r="D1264">
        <v>12</v>
      </c>
    </row>
    <row r="1265" spans="1:4" x14ac:dyDescent="0.3">
      <c r="A1265">
        <v>2021</v>
      </c>
      <c r="B1265" t="s">
        <v>4</v>
      </c>
      <c r="C1265">
        <v>40</v>
      </c>
      <c r="D1265">
        <v>12</v>
      </c>
    </row>
    <row r="1266" spans="1:4" x14ac:dyDescent="0.3">
      <c r="A1266">
        <v>2021</v>
      </c>
      <c r="B1266" t="s">
        <v>4</v>
      </c>
      <c r="C1266">
        <v>45</v>
      </c>
      <c r="D1266">
        <v>12</v>
      </c>
    </row>
    <row r="1267" spans="1:4" x14ac:dyDescent="0.3">
      <c r="A1267">
        <v>2021</v>
      </c>
      <c r="B1267" t="s">
        <v>4</v>
      </c>
      <c r="C1267">
        <v>50</v>
      </c>
      <c r="D1267">
        <v>8</v>
      </c>
    </row>
    <row r="1268" spans="1:4" x14ac:dyDescent="0.3">
      <c r="A1268">
        <v>2021</v>
      </c>
      <c r="B1268" t="s">
        <v>4</v>
      </c>
      <c r="C1268">
        <v>55</v>
      </c>
      <c r="D1268">
        <v>2</v>
      </c>
    </row>
    <row r="1269" spans="1:4" x14ac:dyDescent="0.3">
      <c r="A1269">
        <v>2021</v>
      </c>
      <c r="B1269" t="s">
        <v>4</v>
      </c>
      <c r="C1269">
        <v>60</v>
      </c>
      <c r="D1269">
        <v>6</v>
      </c>
    </row>
    <row r="1270" spans="1:4" x14ac:dyDescent="0.3">
      <c r="A1270">
        <v>2021</v>
      </c>
      <c r="B1270" t="s">
        <v>4</v>
      </c>
      <c r="C1270">
        <v>65</v>
      </c>
      <c r="D1270">
        <v>8</v>
      </c>
    </row>
    <row r="1271" spans="1:4" x14ac:dyDescent="0.3">
      <c r="A1271">
        <v>2021</v>
      </c>
      <c r="B1271" t="s">
        <v>4</v>
      </c>
      <c r="C1271">
        <v>70</v>
      </c>
      <c r="D1271">
        <v>2</v>
      </c>
    </row>
    <row r="1272" spans="1:4" x14ac:dyDescent="0.3">
      <c r="A1272">
        <v>2021</v>
      </c>
      <c r="B1272" t="s">
        <v>4</v>
      </c>
      <c r="C1272">
        <v>75</v>
      </c>
      <c r="D1272">
        <v>4</v>
      </c>
    </row>
    <row r="1273" spans="1:4" x14ac:dyDescent="0.3">
      <c r="A1273">
        <v>2021</v>
      </c>
      <c r="B1273" t="s">
        <v>4</v>
      </c>
      <c r="C1273">
        <v>80</v>
      </c>
      <c r="D1273">
        <v>4</v>
      </c>
    </row>
    <row r="1274" spans="1:4" x14ac:dyDescent="0.3">
      <c r="A1274">
        <v>2021</v>
      </c>
      <c r="B1274" t="s">
        <v>4</v>
      </c>
      <c r="C1274">
        <v>85</v>
      </c>
      <c r="D1274">
        <v>2</v>
      </c>
    </row>
    <row r="1275" spans="1:4" x14ac:dyDescent="0.3">
      <c r="A1275">
        <v>2022</v>
      </c>
      <c r="B1275" t="s">
        <v>4</v>
      </c>
      <c r="C1275">
        <v>0</v>
      </c>
      <c r="D1275">
        <v>0</v>
      </c>
    </row>
    <row r="1276" spans="1:4" x14ac:dyDescent="0.3">
      <c r="A1276">
        <v>2022</v>
      </c>
      <c r="B1276" t="s">
        <v>4</v>
      </c>
      <c r="C1276">
        <v>1</v>
      </c>
      <c r="D1276">
        <v>0</v>
      </c>
    </row>
    <row r="1277" spans="1:4" x14ac:dyDescent="0.3">
      <c r="A1277">
        <v>2022</v>
      </c>
      <c r="B1277" t="s">
        <v>4</v>
      </c>
      <c r="C1277">
        <v>5</v>
      </c>
      <c r="D1277">
        <v>0</v>
      </c>
    </row>
    <row r="1278" spans="1:4" x14ac:dyDescent="0.3">
      <c r="A1278">
        <v>2022</v>
      </c>
      <c r="B1278" t="s">
        <v>4</v>
      </c>
      <c r="C1278">
        <v>10</v>
      </c>
      <c r="D1278">
        <v>0</v>
      </c>
    </row>
    <row r="1279" spans="1:4" x14ac:dyDescent="0.3">
      <c r="A1279">
        <v>2022</v>
      </c>
      <c r="B1279" t="s">
        <v>4</v>
      </c>
      <c r="C1279">
        <v>15</v>
      </c>
      <c r="D1279">
        <v>6</v>
      </c>
    </row>
    <row r="1280" spans="1:4" x14ac:dyDescent="0.3">
      <c r="A1280">
        <v>2022</v>
      </c>
      <c r="B1280" t="s">
        <v>4</v>
      </c>
      <c r="C1280">
        <v>20</v>
      </c>
      <c r="D1280">
        <v>8</v>
      </c>
    </row>
    <row r="1281" spans="1:4" x14ac:dyDescent="0.3">
      <c r="A1281">
        <v>2022</v>
      </c>
      <c r="B1281" t="s">
        <v>4</v>
      </c>
      <c r="C1281">
        <v>25</v>
      </c>
      <c r="D1281">
        <v>14</v>
      </c>
    </row>
    <row r="1282" spans="1:4" x14ac:dyDescent="0.3">
      <c r="A1282">
        <v>2022</v>
      </c>
      <c r="B1282" t="s">
        <v>4</v>
      </c>
      <c r="C1282">
        <v>30</v>
      </c>
      <c r="D1282">
        <v>16</v>
      </c>
    </row>
    <row r="1283" spans="1:4" x14ac:dyDescent="0.3">
      <c r="A1283">
        <v>2022</v>
      </c>
      <c r="B1283" t="s">
        <v>4</v>
      </c>
      <c r="C1283">
        <v>35</v>
      </c>
      <c r="D1283">
        <v>6</v>
      </c>
    </row>
    <row r="1284" spans="1:4" x14ac:dyDescent="0.3">
      <c r="A1284">
        <v>2022</v>
      </c>
      <c r="B1284" t="s">
        <v>4</v>
      </c>
      <c r="C1284">
        <v>40</v>
      </c>
      <c r="D1284">
        <v>8</v>
      </c>
    </row>
    <row r="1285" spans="1:4" x14ac:dyDescent="0.3">
      <c r="A1285">
        <v>2022</v>
      </c>
      <c r="B1285" t="s">
        <v>4</v>
      </c>
      <c r="C1285">
        <v>45</v>
      </c>
      <c r="D1285">
        <v>4</v>
      </c>
    </row>
    <row r="1286" spans="1:4" x14ac:dyDescent="0.3">
      <c r="A1286">
        <v>2022</v>
      </c>
      <c r="B1286" t="s">
        <v>4</v>
      </c>
      <c r="C1286">
        <v>50</v>
      </c>
      <c r="D1286">
        <v>2</v>
      </c>
    </row>
    <row r="1287" spans="1:4" x14ac:dyDescent="0.3">
      <c r="A1287">
        <v>2022</v>
      </c>
      <c r="B1287" t="s">
        <v>4</v>
      </c>
      <c r="C1287">
        <v>55</v>
      </c>
      <c r="D1287">
        <v>6</v>
      </c>
    </row>
    <row r="1288" spans="1:4" x14ac:dyDescent="0.3">
      <c r="A1288">
        <v>2022</v>
      </c>
      <c r="B1288" t="s">
        <v>4</v>
      </c>
      <c r="C1288">
        <v>60</v>
      </c>
      <c r="D1288">
        <v>14</v>
      </c>
    </row>
    <row r="1289" spans="1:4" x14ac:dyDescent="0.3">
      <c r="A1289">
        <v>2022</v>
      </c>
      <c r="B1289" t="s">
        <v>4</v>
      </c>
      <c r="C1289">
        <v>65</v>
      </c>
      <c r="D1289">
        <v>0</v>
      </c>
    </row>
    <row r="1290" spans="1:4" x14ac:dyDescent="0.3">
      <c r="A1290">
        <v>2022</v>
      </c>
      <c r="B1290" t="s">
        <v>4</v>
      </c>
      <c r="C1290">
        <v>70</v>
      </c>
      <c r="D1290">
        <v>2</v>
      </c>
    </row>
    <row r="1291" spans="1:4" x14ac:dyDescent="0.3">
      <c r="A1291">
        <v>2022</v>
      </c>
      <c r="B1291" t="s">
        <v>4</v>
      </c>
      <c r="C1291">
        <v>75</v>
      </c>
      <c r="D1291">
        <v>0</v>
      </c>
    </row>
    <row r="1292" spans="1:4" x14ac:dyDescent="0.3">
      <c r="A1292">
        <v>2022</v>
      </c>
      <c r="B1292" t="s">
        <v>4</v>
      </c>
      <c r="C1292">
        <v>80</v>
      </c>
      <c r="D1292">
        <v>0</v>
      </c>
    </row>
    <row r="1293" spans="1:4" x14ac:dyDescent="0.3">
      <c r="A1293">
        <v>2022</v>
      </c>
      <c r="B1293" t="s">
        <v>4</v>
      </c>
      <c r="C1293">
        <v>85</v>
      </c>
      <c r="D1293">
        <v>0</v>
      </c>
    </row>
    <row r="1294" spans="1:4" x14ac:dyDescent="0.3">
      <c r="A1294">
        <v>2023</v>
      </c>
      <c r="B1294" t="s">
        <v>4</v>
      </c>
      <c r="C1294">
        <v>0</v>
      </c>
      <c r="D1294">
        <v>0</v>
      </c>
    </row>
    <row r="1295" spans="1:4" x14ac:dyDescent="0.3">
      <c r="A1295">
        <v>2023</v>
      </c>
      <c r="B1295" t="s">
        <v>4</v>
      </c>
      <c r="C1295">
        <v>1</v>
      </c>
      <c r="D1295">
        <v>0</v>
      </c>
    </row>
    <row r="1296" spans="1:4" x14ac:dyDescent="0.3">
      <c r="A1296">
        <v>2023</v>
      </c>
      <c r="B1296" t="s">
        <v>4</v>
      </c>
      <c r="C1296">
        <v>5</v>
      </c>
      <c r="D1296">
        <v>0</v>
      </c>
    </row>
    <row r="1297" spans="1:4" x14ac:dyDescent="0.3">
      <c r="A1297">
        <v>2023</v>
      </c>
      <c r="B1297" t="s">
        <v>4</v>
      </c>
      <c r="C1297">
        <v>10</v>
      </c>
      <c r="D1297">
        <v>2</v>
      </c>
    </row>
    <row r="1298" spans="1:4" x14ac:dyDescent="0.3">
      <c r="A1298">
        <v>2023</v>
      </c>
      <c r="B1298" t="s">
        <v>4</v>
      </c>
      <c r="C1298">
        <v>15</v>
      </c>
      <c r="D1298">
        <v>6</v>
      </c>
    </row>
    <row r="1299" spans="1:4" x14ac:dyDescent="0.3">
      <c r="A1299">
        <v>2023</v>
      </c>
      <c r="B1299" t="s">
        <v>4</v>
      </c>
      <c r="C1299">
        <v>20</v>
      </c>
      <c r="D1299">
        <v>12</v>
      </c>
    </row>
    <row r="1300" spans="1:4" x14ac:dyDescent="0.3">
      <c r="A1300">
        <v>2023</v>
      </c>
      <c r="B1300" t="s">
        <v>4</v>
      </c>
      <c r="C1300">
        <v>25</v>
      </c>
      <c r="D1300">
        <v>8</v>
      </c>
    </row>
    <row r="1301" spans="1:4" x14ac:dyDescent="0.3">
      <c r="A1301">
        <v>2023</v>
      </c>
      <c r="B1301" t="s">
        <v>4</v>
      </c>
      <c r="C1301">
        <v>30</v>
      </c>
      <c r="D1301">
        <v>14</v>
      </c>
    </row>
    <row r="1302" spans="1:4" x14ac:dyDescent="0.3">
      <c r="A1302">
        <v>2023</v>
      </c>
      <c r="B1302" t="s">
        <v>4</v>
      </c>
      <c r="C1302">
        <v>35</v>
      </c>
      <c r="D1302">
        <v>12</v>
      </c>
    </row>
    <row r="1303" spans="1:4" x14ac:dyDescent="0.3">
      <c r="A1303">
        <v>2023</v>
      </c>
      <c r="B1303" t="s">
        <v>4</v>
      </c>
      <c r="C1303">
        <v>40</v>
      </c>
      <c r="D1303">
        <v>8</v>
      </c>
    </row>
    <row r="1304" spans="1:4" x14ac:dyDescent="0.3">
      <c r="A1304">
        <v>2023</v>
      </c>
      <c r="B1304" t="s">
        <v>4</v>
      </c>
      <c r="C1304">
        <v>45</v>
      </c>
      <c r="D1304">
        <v>4</v>
      </c>
    </row>
    <row r="1305" spans="1:4" x14ac:dyDescent="0.3">
      <c r="A1305">
        <v>2023</v>
      </c>
      <c r="B1305" t="s">
        <v>4</v>
      </c>
      <c r="C1305">
        <v>50</v>
      </c>
      <c r="D1305">
        <v>4</v>
      </c>
    </row>
    <row r="1306" spans="1:4" x14ac:dyDescent="0.3">
      <c r="A1306">
        <v>2023</v>
      </c>
      <c r="B1306" t="s">
        <v>4</v>
      </c>
      <c r="C1306">
        <v>55</v>
      </c>
      <c r="D1306">
        <v>10</v>
      </c>
    </row>
    <row r="1307" spans="1:4" x14ac:dyDescent="0.3">
      <c r="A1307">
        <v>2023</v>
      </c>
      <c r="B1307" t="s">
        <v>4</v>
      </c>
      <c r="C1307">
        <v>60</v>
      </c>
      <c r="D1307">
        <v>2</v>
      </c>
    </row>
    <row r="1308" spans="1:4" x14ac:dyDescent="0.3">
      <c r="A1308">
        <v>2023</v>
      </c>
      <c r="B1308" t="s">
        <v>4</v>
      </c>
      <c r="C1308">
        <v>65</v>
      </c>
      <c r="D1308">
        <v>0</v>
      </c>
    </row>
    <row r="1309" spans="1:4" x14ac:dyDescent="0.3">
      <c r="A1309">
        <v>2023</v>
      </c>
      <c r="B1309" t="s">
        <v>4</v>
      </c>
      <c r="C1309">
        <v>70</v>
      </c>
      <c r="D1309">
        <v>6</v>
      </c>
    </row>
    <row r="1310" spans="1:4" x14ac:dyDescent="0.3">
      <c r="A1310">
        <v>2023</v>
      </c>
      <c r="B1310" t="s">
        <v>4</v>
      </c>
      <c r="C1310">
        <v>75</v>
      </c>
      <c r="D1310">
        <v>4</v>
      </c>
    </row>
    <row r="1311" spans="1:4" x14ac:dyDescent="0.3">
      <c r="A1311">
        <v>2023</v>
      </c>
      <c r="B1311" t="s">
        <v>4</v>
      </c>
      <c r="C1311">
        <v>80</v>
      </c>
      <c r="D1311">
        <v>2</v>
      </c>
    </row>
    <row r="1312" spans="1:4" x14ac:dyDescent="0.3">
      <c r="A1312">
        <v>2023</v>
      </c>
      <c r="B1312" t="s">
        <v>4</v>
      </c>
      <c r="C1312">
        <v>85</v>
      </c>
      <c r="D1312">
        <v>0</v>
      </c>
    </row>
    <row r="1313" spans="1:4" x14ac:dyDescent="0.3">
      <c r="A1313">
        <v>2024</v>
      </c>
      <c r="B1313" t="s">
        <v>4</v>
      </c>
      <c r="C1313">
        <v>0</v>
      </c>
      <c r="D1313">
        <v>0</v>
      </c>
    </row>
    <row r="1314" spans="1:4" x14ac:dyDescent="0.3">
      <c r="A1314">
        <v>2024</v>
      </c>
      <c r="B1314" t="s">
        <v>4</v>
      </c>
      <c r="C1314">
        <v>1</v>
      </c>
      <c r="D1314">
        <v>0</v>
      </c>
    </row>
    <row r="1315" spans="1:4" x14ac:dyDescent="0.3">
      <c r="A1315">
        <v>2024</v>
      </c>
      <c r="B1315" t="s">
        <v>4</v>
      </c>
      <c r="C1315">
        <v>5</v>
      </c>
      <c r="D1315">
        <v>0</v>
      </c>
    </row>
    <row r="1316" spans="1:4" x14ac:dyDescent="0.3">
      <c r="A1316">
        <v>2024</v>
      </c>
      <c r="B1316" t="s">
        <v>4</v>
      </c>
      <c r="C1316">
        <v>10</v>
      </c>
      <c r="D1316">
        <v>0</v>
      </c>
    </row>
    <row r="1317" spans="1:4" x14ac:dyDescent="0.3">
      <c r="A1317">
        <v>2024</v>
      </c>
      <c r="B1317" t="s">
        <v>4</v>
      </c>
      <c r="C1317">
        <v>15</v>
      </c>
      <c r="D1317">
        <v>4</v>
      </c>
    </row>
    <row r="1318" spans="1:4" x14ac:dyDescent="0.3">
      <c r="A1318">
        <v>2024</v>
      </c>
      <c r="B1318" t="s">
        <v>4</v>
      </c>
      <c r="C1318">
        <v>20</v>
      </c>
      <c r="D1318">
        <v>14</v>
      </c>
    </row>
    <row r="1319" spans="1:4" x14ac:dyDescent="0.3">
      <c r="A1319">
        <v>2024</v>
      </c>
      <c r="B1319" t="s">
        <v>4</v>
      </c>
      <c r="C1319">
        <v>25</v>
      </c>
      <c r="D1319">
        <v>4</v>
      </c>
    </row>
    <row r="1320" spans="1:4" x14ac:dyDescent="0.3">
      <c r="A1320">
        <v>2024</v>
      </c>
      <c r="B1320" t="s">
        <v>4</v>
      </c>
      <c r="C1320">
        <v>30</v>
      </c>
      <c r="D1320">
        <v>4</v>
      </c>
    </row>
    <row r="1321" spans="1:4" x14ac:dyDescent="0.3">
      <c r="A1321">
        <v>2024</v>
      </c>
      <c r="B1321" t="s">
        <v>4</v>
      </c>
      <c r="C1321">
        <v>35</v>
      </c>
      <c r="D1321">
        <v>16</v>
      </c>
    </row>
    <row r="1322" spans="1:4" x14ac:dyDescent="0.3">
      <c r="A1322">
        <v>2024</v>
      </c>
      <c r="B1322" t="s">
        <v>4</v>
      </c>
      <c r="C1322">
        <v>40</v>
      </c>
      <c r="D1322">
        <v>6</v>
      </c>
    </row>
    <row r="1323" spans="1:4" x14ac:dyDescent="0.3">
      <c r="A1323">
        <v>2024</v>
      </c>
      <c r="B1323" t="s">
        <v>4</v>
      </c>
      <c r="C1323">
        <v>45</v>
      </c>
      <c r="D1323">
        <v>8</v>
      </c>
    </row>
    <row r="1324" spans="1:4" x14ac:dyDescent="0.3">
      <c r="A1324">
        <v>2024</v>
      </c>
      <c r="B1324" t="s">
        <v>4</v>
      </c>
      <c r="C1324">
        <v>50</v>
      </c>
      <c r="D1324">
        <v>6</v>
      </c>
    </row>
    <row r="1325" spans="1:4" x14ac:dyDescent="0.3">
      <c r="A1325">
        <v>2024</v>
      </c>
      <c r="B1325" t="s">
        <v>4</v>
      </c>
      <c r="C1325">
        <v>55</v>
      </c>
      <c r="D1325">
        <v>12</v>
      </c>
    </row>
    <row r="1326" spans="1:4" x14ac:dyDescent="0.3">
      <c r="A1326">
        <v>2024</v>
      </c>
      <c r="B1326" t="s">
        <v>4</v>
      </c>
      <c r="C1326">
        <v>60</v>
      </c>
      <c r="D1326">
        <v>6</v>
      </c>
    </row>
    <row r="1327" spans="1:4" x14ac:dyDescent="0.3">
      <c r="A1327">
        <v>2024</v>
      </c>
      <c r="B1327" t="s">
        <v>4</v>
      </c>
      <c r="C1327">
        <v>65</v>
      </c>
      <c r="D1327">
        <v>6</v>
      </c>
    </row>
    <row r="1328" spans="1:4" x14ac:dyDescent="0.3">
      <c r="A1328">
        <v>2024</v>
      </c>
      <c r="B1328" t="s">
        <v>4</v>
      </c>
      <c r="C1328">
        <v>70</v>
      </c>
      <c r="D1328">
        <v>6</v>
      </c>
    </row>
    <row r="1329" spans="1:4" x14ac:dyDescent="0.3">
      <c r="A1329">
        <v>2024</v>
      </c>
      <c r="B1329" t="s">
        <v>4</v>
      </c>
      <c r="C1329">
        <v>75</v>
      </c>
      <c r="D1329">
        <v>4</v>
      </c>
    </row>
    <row r="1330" spans="1:4" x14ac:dyDescent="0.3">
      <c r="A1330">
        <v>2024</v>
      </c>
      <c r="B1330" t="s">
        <v>4</v>
      </c>
      <c r="C1330">
        <v>80</v>
      </c>
      <c r="D1330">
        <v>2</v>
      </c>
    </row>
    <row r="1331" spans="1:4" x14ac:dyDescent="0.3">
      <c r="A1331">
        <v>2024</v>
      </c>
      <c r="B1331" t="s">
        <v>4</v>
      </c>
      <c r="C1331">
        <v>85</v>
      </c>
      <c r="D13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41BE7-4109-42A4-AFC0-3AEB15DFF1B1}">
  <dimension ref="A1:D115"/>
  <sheetViews>
    <sheetView topLeftCell="A73" workbookViewId="0">
      <selection activeCell="D78" sqref="D78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2010</v>
      </c>
      <c r="B2" t="s">
        <v>4</v>
      </c>
      <c r="C2">
        <v>0</v>
      </c>
      <c r="D2">
        <v>452.66395264932203</v>
      </c>
    </row>
    <row r="3" spans="1:4" x14ac:dyDescent="0.3">
      <c r="A3">
        <v>2010</v>
      </c>
      <c r="B3" t="s">
        <v>4</v>
      </c>
      <c r="C3">
        <v>1</v>
      </c>
      <c r="D3">
        <v>79.540876813184497</v>
      </c>
    </row>
    <row r="4" spans="1:4" x14ac:dyDescent="0.3">
      <c r="A4">
        <v>2010</v>
      </c>
      <c r="B4" t="s">
        <v>4</v>
      </c>
      <c r="C4">
        <v>5</v>
      </c>
      <c r="D4">
        <v>50.137995612833301</v>
      </c>
    </row>
    <row r="5" spans="1:4" x14ac:dyDescent="0.3">
      <c r="A5">
        <v>2010</v>
      </c>
      <c r="B5" t="s">
        <v>4</v>
      </c>
      <c r="C5">
        <v>10</v>
      </c>
      <c r="D5">
        <v>47.456526282208003</v>
      </c>
    </row>
    <row r="6" spans="1:4" x14ac:dyDescent="0.3">
      <c r="A6">
        <v>2010</v>
      </c>
      <c r="B6" t="s">
        <v>4</v>
      </c>
      <c r="C6">
        <v>15</v>
      </c>
      <c r="D6">
        <v>139.04557105033999</v>
      </c>
    </row>
    <row r="7" spans="1:4" x14ac:dyDescent="0.3">
      <c r="A7">
        <v>2010</v>
      </c>
      <c r="B7" t="s">
        <v>4</v>
      </c>
      <c r="C7">
        <v>20</v>
      </c>
      <c r="D7">
        <v>241.30089676105499</v>
      </c>
    </row>
    <row r="8" spans="1:4" x14ac:dyDescent="0.3">
      <c r="A8">
        <v>2010</v>
      </c>
      <c r="B8" t="s">
        <v>4</v>
      </c>
      <c r="C8">
        <v>25</v>
      </c>
      <c r="D8">
        <v>226.61354116736999</v>
      </c>
    </row>
    <row r="9" spans="1:4" x14ac:dyDescent="0.3">
      <c r="A9">
        <v>2010</v>
      </c>
      <c r="B9" t="s">
        <v>4</v>
      </c>
      <c r="C9">
        <v>30</v>
      </c>
      <c r="D9">
        <v>292.77488021910602</v>
      </c>
    </row>
    <row r="10" spans="1:4" x14ac:dyDescent="0.3">
      <c r="A10">
        <v>2010</v>
      </c>
      <c r="B10" t="s">
        <v>4</v>
      </c>
      <c r="C10">
        <v>35</v>
      </c>
      <c r="D10">
        <v>360.94091446778401</v>
      </c>
    </row>
    <row r="11" spans="1:4" x14ac:dyDescent="0.3">
      <c r="A11">
        <v>2010</v>
      </c>
      <c r="B11" t="s">
        <v>4</v>
      </c>
      <c r="C11">
        <v>40</v>
      </c>
      <c r="D11">
        <v>421.77278676749302</v>
      </c>
    </row>
    <row r="12" spans="1:4" x14ac:dyDescent="0.3">
      <c r="A12">
        <v>2010</v>
      </c>
      <c r="B12" t="s">
        <v>4</v>
      </c>
      <c r="C12">
        <v>45</v>
      </c>
      <c r="D12">
        <v>498.64329530912198</v>
      </c>
    </row>
    <row r="13" spans="1:4" x14ac:dyDescent="0.3">
      <c r="A13">
        <v>2010</v>
      </c>
      <c r="B13" t="s">
        <v>4</v>
      </c>
      <c r="C13">
        <v>50</v>
      </c>
      <c r="D13">
        <v>583.511110793272</v>
      </c>
    </row>
    <row r="14" spans="1:4" x14ac:dyDescent="0.3">
      <c r="A14">
        <v>2010</v>
      </c>
      <c r="B14" t="s">
        <v>4</v>
      </c>
      <c r="C14">
        <v>55</v>
      </c>
      <c r="D14">
        <v>683.12318143794801</v>
      </c>
    </row>
    <row r="15" spans="1:4" x14ac:dyDescent="0.3">
      <c r="A15">
        <v>2010</v>
      </c>
      <c r="B15" t="s">
        <v>4</v>
      </c>
      <c r="C15">
        <v>60</v>
      </c>
      <c r="D15">
        <v>836.81290572790397</v>
      </c>
    </row>
    <row r="16" spans="1:4" x14ac:dyDescent="0.3">
      <c r="A16">
        <v>2010</v>
      </c>
      <c r="B16" t="s">
        <v>4</v>
      </c>
      <c r="C16">
        <v>65</v>
      </c>
      <c r="D16">
        <v>919.03002697757495</v>
      </c>
    </row>
    <row r="17" spans="1:4" x14ac:dyDescent="0.3">
      <c r="A17">
        <v>2010</v>
      </c>
      <c r="B17" t="s">
        <v>4</v>
      </c>
      <c r="C17">
        <v>70</v>
      </c>
      <c r="D17">
        <v>1062.7172221739199</v>
      </c>
    </row>
    <row r="18" spans="1:4" x14ac:dyDescent="0.3">
      <c r="A18">
        <v>2010</v>
      </c>
      <c r="B18" t="s">
        <v>4</v>
      </c>
      <c r="C18">
        <v>75</v>
      </c>
      <c r="D18">
        <v>1296.0136096286701</v>
      </c>
    </row>
    <row r="19" spans="1:4" x14ac:dyDescent="0.3">
      <c r="A19">
        <v>2010</v>
      </c>
      <c r="B19" t="s">
        <v>4</v>
      </c>
      <c r="C19">
        <v>80</v>
      </c>
      <c r="D19">
        <v>1350.19205195156</v>
      </c>
    </row>
    <row r="20" spans="1:4" x14ac:dyDescent="0.3">
      <c r="A20">
        <v>2010</v>
      </c>
      <c r="B20" t="s">
        <v>4</v>
      </c>
      <c r="C20">
        <v>85</v>
      </c>
      <c r="D20">
        <v>2285.1799824099298</v>
      </c>
    </row>
    <row r="21" spans="1:4" x14ac:dyDescent="0.3">
      <c r="A21" s="56">
        <v>2019</v>
      </c>
      <c r="B21" s="56" t="s">
        <v>4</v>
      </c>
      <c r="C21" s="56">
        <v>0</v>
      </c>
      <c r="D21" s="56">
        <v>374.294162220141</v>
      </c>
    </row>
    <row r="22" spans="1:4" x14ac:dyDescent="0.3">
      <c r="A22" s="56">
        <v>2019</v>
      </c>
      <c r="B22" s="56" t="s">
        <v>4</v>
      </c>
      <c r="C22" s="56">
        <v>1</v>
      </c>
      <c r="D22" s="56">
        <v>68.043431525733894</v>
      </c>
    </row>
    <row r="23" spans="1:4" x14ac:dyDescent="0.3">
      <c r="A23" s="56">
        <v>2019</v>
      </c>
      <c r="B23" s="56" t="s">
        <v>4</v>
      </c>
      <c r="C23" s="56">
        <v>5</v>
      </c>
      <c r="D23" s="56">
        <v>36.019179555289497</v>
      </c>
    </row>
    <row r="24" spans="1:4" x14ac:dyDescent="0.3">
      <c r="A24" s="56">
        <v>2019</v>
      </c>
      <c r="B24" s="56" t="s">
        <v>4</v>
      </c>
      <c r="C24" s="56">
        <v>10</v>
      </c>
      <c r="D24" s="56">
        <v>47.030129387955803</v>
      </c>
    </row>
    <row r="25" spans="1:4" x14ac:dyDescent="0.3">
      <c r="A25" s="56">
        <v>2019</v>
      </c>
      <c r="B25" s="56" t="s">
        <v>4</v>
      </c>
      <c r="C25" s="56">
        <v>15</v>
      </c>
      <c r="D25" s="56">
        <v>132.07314378787399</v>
      </c>
    </row>
    <row r="26" spans="1:4" x14ac:dyDescent="0.3">
      <c r="A26" s="56">
        <v>2019</v>
      </c>
      <c r="B26" s="56" t="s">
        <v>4</v>
      </c>
      <c r="C26" s="56">
        <v>20</v>
      </c>
      <c r="D26" s="56">
        <v>240.14853454855401</v>
      </c>
    </row>
    <row r="27" spans="1:4" x14ac:dyDescent="0.3">
      <c r="A27" s="56">
        <v>2019</v>
      </c>
      <c r="B27" s="56" t="s">
        <v>4</v>
      </c>
      <c r="C27" s="56">
        <v>25</v>
      </c>
      <c r="D27" s="56">
        <v>301.19285633734</v>
      </c>
    </row>
    <row r="28" spans="1:4" x14ac:dyDescent="0.3">
      <c r="A28" s="56">
        <v>2019</v>
      </c>
      <c r="B28" s="56" t="s">
        <v>4</v>
      </c>
      <c r="C28" s="56">
        <v>30</v>
      </c>
      <c r="D28" s="56">
        <v>364.23558150248698</v>
      </c>
    </row>
    <row r="29" spans="1:4" x14ac:dyDescent="0.3">
      <c r="A29" s="56">
        <v>2019</v>
      </c>
      <c r="B29" s="56" t="s">
        <v>4</v>
      </c>
      <c r="C29" s="56">
        <v>35</v>
      </c>
      <c r="D29" s="56">
        <v>478.30148447255999</v>
      </c>
    </row>
    <row r="30" spans="1:4" x14ac:dyDescent="0.3">
      <c r="A30" s="56">
        <v>2019</v>
      </c>
      <c r="B30" s="56" t="s">
        <v>4</v>
      </c>
      <c r="C30" s="56">
        <v>40</v>
      </c>
      <c r="D30" s="56">
        <v>548.33016519953003</v>
      </c>
    </row>
    <row r="31" spans="1:4" x14ac:dyDescent="0.3">
      <c r="A31" s="56">
        <v>2019</v>
      </c>
      <c r="B31" s="56" t="s">
        <v>4</v>
      </c>
      <c r="C31" s="56">
        <v>45</v>
      </c>
      <c r="D31" s="56">
        <v>671.429285472532</v>
      </c>
    </row>
    <row r="32" spans="1:4" x14ac:dyDescent="0.3">
      <c r="A32" s="56">
        <v>2019</v>
      </c>
      <c r="B32" s="56" t="s">
        <v>4</v>
      </c>
      <c r="C32" s="56">
        <v>50</v>
      </c>
      <c r="D32" s="56">
        <v>786.47465886809903</v>
      </c>
    </row>
    <row r="33" spans="1:4" x14ac:dyDescent="0.3">
      <c r="A33" s="56">
        <v>2019</v>
      </c>
      <c r="B33" s="56" t="s">
        <v>4</v>
      </c>
      <c r="C33" s="56">
        <v>55</v>
      </c>
      <c r="D33" s="56">
        <v>1001.60838660647</v>
      </c>
    </row>
    <row r="34" spans="1:4" x14ac:dyDescent="0.3">
      <c r="A34" s="56">
        <v>2019</v>
      </c>
      <c r="B34" s="56" t="s">
        <v>4</v>
      </c>
      <c r="C34" s="56">
        <v>60</v>
      </c>
      <c r="D34" s="56">
        <v>1128.6798844498101</v>
      </c>
    </row>
    <row r="35" spans="1:4" x14ac:dyDescent="0.3">
      <c r="A35" s="56">
        <v>2019</v>
      </c>
      <c r="B35" s="56" t="s">
        <v>4</v>
      </c>
      <c r="C35" s="56">
        <v>65</v>
      </c>
      <c r="D35" s="56">
        <v>1316.8323478555101</v>
      </c>
    </row>
    <row r="36" spans="1:4" x14ac:dyDescent="0.3">
      <c r="A36" s="56">
        <v>2019</v>
      </c>
      <c r="B36" s="56" t="s">
        <v>4</v>
      </c>
      <c r="C36" s="56">
        <v>70</v>
      </c>
      <c r="D36" s="56">
        <v>1530.9640551538901</v>
      </c>
    </row>
    <row r="37" spans="1:4" x14ac:dyDescent="0.3">
      <c r="A37" s="56">
        <v>2019</v>
      </c>
      <c r="B37" s="56" t="s">
        <v>4</v>
      </c>
      <c r="C37" s="56">
        <v>75</v>
      </c>
      <c r="D37" s="56">
        <v>1500.9353878079901</v>
      </c>
    </row>
    <row r="38" spans="1:4" x14ac:dyDescent="0.3">
      <c r="A38" s="56">
        <v>2019</v>
      </c>
      <c r="B38" s="56" t="s">
        <v>4</v>
      </c>
      <c r="C38" s="56">
        <v>80</v>
      </c>
      <c r="D38" s="56">
        <v>1529.96297429783</v>
      </c>
    </row>
    <row r="39" spans="1:4" x14ac:dyDescent="0.3">
      <c r="A39" s="56">
        <v>2019</v>
      </c>
      <c r="B39" s="56" t="s">
        <v>4</v>
      </c>
      <c r="C39" s="56">
        <v>85</v>
      </c>
      <c r="D39" s="56">
        <v>2432.5226103589898</v>
      </c>
    </row>
    <row r="40" spans="1:4" x14ac:dyDescent="0.3">
      <c r="A40">
        <v>2021</v>
      </c>
      <c r="B40" t="s">
        <v>4</v>
      </c>
      <c r="C40">
        <v>0</v>
      </c>
      <c r="D40">
        <v>304.23742493927301</v>
      </c>
    </row>
    <row r="41" spans="1:4" x14ac:dyDescent="0.3">
      <c r="A41">
        <v>2021</v>
      </c>
      <c r="B41" t="s">
        <v>4</v>
      </c>
      <c r="C41">
        <v>1</v>
      </c>
      <c r="D41">
        <v>86.016092678479794</v>
      </c>
    </row>
    <row r="42" spans="1:4" x14ac:dyDescent="0.3">
      <c r="A42">
        <v>2021</v>
      </c>
      <c r="B42" t="s">
        <v>4</v>
      </c>
      <c r="C42">
        <v>5</v>
      </c>
      <c r="D42">
        <v>30.005613725051099</v>
      </c>
    </row>
    <row r="43" spans="1:4" x14ac:dyDescent="0.3">
      <c r="A43">
        <v>2021</v>
      </c>
      <c r="B43" t="s">
        <v>4</v>
      </c>
      <c r="C43">
        <v>10</v>
      </c>
      <c r="D43">
        <v>50.009356208418502</v>
      </c>
    </row>
    <row r="44" spans="1:4" x14ac:dyDescent="0.3">
      <c r="A44">
        <v>2021</v>
      </c>
      <c r="B44" t="s">
        <v>4</v>
      </c>
      <c r="C44">
        <v>15</v>
      </c>
      <c r="D44">
        <v>138.02582313523499</v>
      </c>
    </row>
    <row r="45" spans="1:4" x14ac:dyDescent="0.3">
      <c r="A45">
        <v>2021</v>
      </c>
      <c r="B45" t="s">
        <v>4</v>
      </c>
      <c r="C45">
        <v>20</v>
      </c>
      <c r="D45">
        <v>306.05725999552101</v>
      </c>
    </row>
    <row r="46" spans="1:4" x14ac:dyDescent="0.3">
      <c r="A46">
        <v>2021</v>
      </c>
      <c r="B46" t="s">
        <v>4</v>
      </c>
      <c r="C46">
        <v>25</v>
      </c>
      <c r="D46">
        <v>428.08008914406201</v>
      </c>
    </row>
    <row r="47" spans="1:4" x14ac:dyDescent="0.3">
      <c r="A47">
        <v>2021</v>
      </c>
      <c r="B47" t="s">
        <v>4</v>
      </c>
      <c r="C47">
        <v>30</v>
      </c>
      <c r="D47">
        <v>494.09243933917497</v>
      </c>
    </row>
    <row r="48" spans="1:4" x14ac:dyDescent="0.3">
      <c r="A48">
        <v>2021</v>
      </c>
      <c r="B48" t="s">
        <v>4</v>
      </c>
      <c r="C48">
        <v>35</v>
      </c>
      <c r="D48">
        <v>680.12724443449201</v>
      </c>
    </row>
    <row r="49" spans="1:4" x14ac:dyDescent="0.3">
      <c r="A49">
        <v>2021</v>
      </c>
      <c r="B49" t="s">
        <v>4</v>
      </c>
      <c r="C49">
        <v>40</v>
      </c>
      <c r="D49">
        <v>832.155687308084</v>
      </c>
    </row>
    <row r="50" spans="1:4" x14ac:dyDescent="0.3">
      <c r="A50">
        <v>2021</v>
      </c>
      <c r="B50" t="s">
        <v>4</v>
      </c>
      <c r="C50">
        <v>45</v>
      </c>
      <c r="D50">
        <v>1172.2193095253299</v>
      </c>
    </row>
    <row r="51" spans="1:4" x14ac:dyDescent="0.3">
      <c r="A51">
        <v>2021</v>
      </c>
      <c r="B51" t="s">
        <v>4</v>
      </c>
      <c r="C51">
        <v>50</v>
      </c>
      <c r="D51">
        <v>1228.2297884787599</v>
      </c>
    </row>
    <row r="52" spans="1:4" x14ac:dyDescent="0.3">
      <c r="A52">
        <v>2021</v>
      </c>
      <c r="B52" t="s">
        <v>4</v>
      </c>
      <c r="C52">
        <v>55</v>
      </c>
      <c r="D52">
        <v>1516.2836802392501</v>
      </c>
    </row>
    <row r="53" spans="1:4" x14ac:dyDescent="0.3">
      <c r="A53">
        <v>2021</v>
      </c>
      <c r="B53" t="s">
        <v>4</v>
      </c>
      <c r="C53">
        <v>60</v>
      </c>
      <c r="D53">
        <v>1790.3349522613801</v>
      </c>
    </row>
    <row r="54" spans="1:4" x14ac:dyDescent="0.3">
      <c r="A54">
        <v>2021</v>
      </c>
      <c r="B54" t="s">
        <v>4</v>
      </c>
      <c r="C54">
        <v>65</v>
      </c>
      <c r="D54">
        <v>2090.3910895118902</v>
      </c>
    </row>
    <row r="55" spans="1:4" x14ac:dyDescent="0.3">
      <c r="A55">
        <v>2021</v>
      </c>
      <c r="B55" t="s">
        <v>4</v>
      </c>
      <c r="C55">
        <v>70</v>
      </c>
      <c r="D55">
        <v>2450.4584542125099</v>
      </c>
    </row>
    <row r="56" spans="1:4" x14ac:dyDescent="0.3">
      <c r="A56">
        <v>2021</v>
      </c>
      <c r="B56" t="s">
        <v>4</v>
      </c>
      <c r="C56">
        <v>75</v>
      </c>
      <c r="D56">
        <v>2322.4345023189499</v>
      </c>
    </row>
    <row r="57" spans="1:4" x14ac:dyDescent="0.3">
      <c r="A57">
        <v>2021</v>
      </c>
      <c r="B57" t="s">
        <v>4</v>
      </c>
      <c r="C57">
        <v>80</v>
      </c>
      <c r="D57">
        <v>2252.4214036271701</v>
      </c>
    </row>
    <row r="58" spans="1:4" x14ac:dyDescent="0.3">
      <c r="A58">
        <v>2021</v>
      </c>
      <c r="B58" t="s">
        <v>4</v>
      </c>
      <c r="C58">
        <v>85</v>
      </c>
      <c r="D58">
        <v>3208.60029433213</v>
      </c>
    </row>
    <row r="59" spans="1:4" x14ac:dyDescent="0.3">
      <c r="A59">
        <v>2010</v>
      </c>
      <c r="B59" t="s">
        <v>5</v>
      </c>
      <c r="C59">
        <v>0</v>
      </c>
      <c r="D59">
        <v>370.40202106723399</v>
      </c>
    </row>
    <row r="60" spans="1:4" x14ac:dyDescent="0.3">
      <c r="A60">
        <v>2010</v>
      </c>
      <c r="B60" t="s">
        <v>5</v>
      </c>
      <c r="C60">
        <v>1</v>
      </c>
      <c r="D60">
        <v>78.775053937285307</v>
      </c>
    </row>
    <row r="61" spans="1:4" x14ac:dyDescent="0.3">
      <c r="A61">
        <v>2010</v>
      </c>
      <c r="B61" t="s">
        <v>5</v>
      </c>
      <c r="C61">
        <v>5</v>
      </c>
      <c r="D61">
        <v>43.399515672418403</v>
      </c>
    </row>
    <row r="62" spans="1:4" x14ac:dyDescent="0.3">
      <c r="A62">
        <v>2010</v>
      </c>
      <c r="B62" t="s">
        <v>5</v>
      </c>
      <c r="C62">
        <v>10</v>
      </c>
      <c r="D62">
        <v>44.060133879300103</v>
      </c>
    </row>
    <row r="63" spans="1:4" x14ac:dyDescent="0.3">
      <c r="A63">
        <v>2010</v>
      </c>
      <c r="B63" t="s">
        <v>5</v>
      </c>
      <c r="C63">
        <v>15</v>
      </c>
      <c r="D63">
        <v>68.103109461615006</v>
      </c>
    </row>
    <row r="64" spans="1:4" x14ac:dyDescent="0.3">
      <c r="A64">
        <v>2010</v>
      </c>
      <c r="B64" t="s">
        <v>5</v>
      </c>
      <c r="C64">
        <v>20</v>
      </c>
      <c r="D64">
        <v>69.440420476826901</v>
      </c>
    </row>
    <row r="65" spans="1:4" x14ac:dyDescent="0.3">
      <c r="A65">
        <v>2010</v>
      </c>
      <c r="B65" t="s">
        <v>5</v>
      </c>
      <c r="C65">
        <v>25</v>
      </c>
      <c r="D65">
        <v>94.136589441028207</v>
      </c>
    </row>
    <row r="66" spans="1:4" x14ac:dyDescent="0.3">
      <c r="A66">
        <v>2010</v>
      </c>
      <c r="B66" t="s">
        <v>5</v>
      </c>
      <c r="C66">
        <v>30</v>
      </c>
      <c r="D66">
        <v>116.834235338851</v>
      </c>
    </row>
    <row r="67" spans="1:4" x14ac:dyDescent="0.3">
      <c r="A67">
        <v>2010</v>
      </c>
      <c r="B67" t="s">
        <v>5</v>
      </c>
      <c r="C67">
        <v>35</v>
      </c>
      <c r="D67">
        <v>146.87912869110201</v>
      </c>
    </row>
    <row r="68" spans="1:4" x14ac:dyDescent="0.3">
      <c r="A68">
        <v>2010</v>
      </c>
      <c r="B68" t="s">
        <v>5</v>
      </c>
      <c r="C68">
        <v>40</v>
      </c>
      <c r="D68">
        <v>182.259047561383</v>
      </c>
    </row>
    <row r="69" spans="1:4" x14ac:dyDescent="0.3">
      <c r="A69">
        <v>2010</v>
      </c>
      <c r="B69" t="s">
        <v>5</v>
      </c>
      <c r="C69">
        <v>45</v>
      </c>
      <c r="D69">
        <v>266.38850573317399</v>
      </c>
    </row>
    <row r="70" spans="1:4" x14ac:dyDescent="0.3">
      <c r="A70">
        <v>2010</v>
      </c>
      <c r="B70" t="s">
        <v>5</v>
      </c>
      <c r="C70">
        <v>50</v>
      </c>
      <c r="D70">
        <v>387.88333843305998</v>
      </c>
    </row>
    <row r="71" spans="1:4" x14ac:dyDescent="0.3">
      <c r="A71">
        <v>2010</v>
      </c>
      <c r="B71" t="s">
        <v>5</v>
      </c>
      <c r="C71">
        <v>55</v>
      </c>
      <c r="D71">
        <v>510.72546842854098</v>
      </c>
    </row>
    <row r="72" spans="1:4" x14ac:dyDescent="0.3">
      <c r="A72">
        <v>2010</v>
      </c>
      <c r="B72" t="s">
        <v>5</v>
      </c>
      <c r="C72">
        <v>60</v>
      </c>
      <c r="D72">
        <v>692.99342577991797</v>
      </c>
    </row>
    <row r="73" spans="1:4" x14ac:dyDescent="0.3">
      <c r="A73">
        <v>2010</v>
      </c>
      <c r="B73" t="s">
        <v>5</v>
      </c>
      <c r="C73">
        <v>65</v>
      </c>
      <c r="D73">
        <v>797.16279901549501</v>
      </c>
    </row>
    <row r="74" spans="1:4" x14ac:dyDescent="0.3">
      <c r="A74">
        <v>2010</v>
      </c>
      <c r="B74" t="s">
        <v>5</v>
      </c>
      <c r="C74">
        <v>70</v>
      </c>
      <c r="D74">
        <v>1019.46967643501</v>
      </c>
    </row>
    <row r="75" spans="1:4" x14ac:dyDescent="0.3">
      <c r="A75">
        <v>2010</v>
      </c>
      <c r="B75" t="s">
        <v>5</v>
      </c>
      <c r="C75">
        <v>75</v>
      </c>
      <c r="D75">
        <v>1142.3093190284901</v>
      </c>
    </row>
    <row r="76" spans="1:4" x14ac:dyDescent="0.3">
      <c r="A76">
        <v>2010</v>
      </c>
      <c r="B76" t="s">
        <v>5</v>
      </c>
      <c r="C76">
        <v>80</v>
      </c>
      <c r="D76">
        <v>1249.7747300394999</v>
      </c>
    </row>
    <row r="77" spans="1:4" x14ac:dyDescent="0.3">
      <c r="A77">
        <v>2010</v>
      </c>
      <c r="B77" t="s">
        <v>5</v>
      </c>
      <c r="C77">
        <v>85</v>
      </c>
      <c r="D77">
        <v>2452.19882004584</v>
      </c>
    </row>
    <row r="78" spans="1:4" x14ac:dyDescent="0.3">
      <c r="A78" s="57">
        <v>2019</v>
      </c>
      <c r="B78" s="57" t="s">
        <v>5</v>
      </c>
      <c r="C78" s="57">
        <v>0</v>
      </c>
      <c r="D78" s="57">
        <v>319.950791961552</v>
      </c>
    </row>
    <row r="79" spans="1:4" x14ac:dyDescent="0.3">
      <c r="A79" s="57">
        <v>2019</v>
      </c>
      <c r="B79" s="57" t="s">
        <v>5</v>
      </c>
      <c r="C79" s="57">
        <v>1</v>
      </c>
      <c r="D79" s="57">
        <v>63.005221965219498</v>
      </c>
    </row>
    <row r="80" spans="1:4" x14ac:dyDescent="0.3">
      <c r="A80" s="57">
        <v>2019</v>
      </c>
      <c r="B80" s="57" t="s">
        <v>5</v>
      </c>
      <c r="C80" s="57">
        <v>5</v>
      </c>
      <c r="D80" s="57">
        <v>29.001516054418602</v>
      </c>
    </row>
    <row r="81" spans="1:4" x14ac:dyDescent="0.3">
      <c r="A81" s="57">
        <v>2019</v>
      </c>
      <c r="B81" s="57" t="s">
        <v>5</v>
      </c>
      <c r="C81" s="57">
        <v>10</v>
      </c>
      <c r="D81" s="57">
        <v>44.004211262273799</v>
      </c>
    </row>
    <row r="82" spans="1:4" x14ac:dyDescent="0.3">
      <c r="A82" s="57">
        <v>2019</v>
      </c>
      <c r="B82" s="57" t="s">
        <v>5</v>
      </c>
      <c r="C82" s="57">
        <v>15</v>
      </c>
      <c r="D82" s="57">
        <v>74.006738019637993</v>
      </c>
    </row>
    <row r="83" spans="1:4" x14ac:dyDescent="0.3">
      <c r="A83" s="57">
        <v>2019</v>
      </c>
      <c r="B83" s="57" t="s">
        <v>5</v>
      </c>
      <c r="C83" s="57">
        <v>20</v>
      </c>
      <c r="D83" s="57">
        <v>98.008927876020493</v>
      </c>
    </row>
    <row r="84" spans="1:4" x14ac:dyDescent="0.3">
      <c r="A84" s="57">
        <v>2019</v>
      </c>
      <c r="B84" s="57" t="s">
        <v>5</v>
      </c>
      <c r="C84" s="57">
        <v>25</v>
      </c>
      <c r="D84" s="57">
        <v>101.00892787602</v>
      </c>
    </row>
    <row r="85" spans="1:4" x14ac:dyDescent="0.3">
      <c r="A85" s="57">
        <v>2019</v>
      </c>
      <c r="B85" s="57" t="s">
        <v>5</v>
      </c>
      <c r="C85" s="57">
        <v>30</v>
      </c>
      <c r="D85" s="57">
        <v>170.015665895659</v>
      </c>
    </row>
    <row r="86" spans="1:4" x14ac:dyDescent="0.3">
      <c r="A86" s="57">
        <v>2019</v>
      </c>
      <c r="B86" s="57" t="s">
        <v>5</v>
      </c>
      <c r="C86" s="57">
        <v>35</v>
      </c>
      <c r="D86" s="57">
        <v>185.01583434615</v>
      </c>
    </row>
    <row r="87" spans="1:4" x14ac:dyDescent="0.3">
      <c r="A87" s="57">
        <v>2019</v>
      </c>
      <c r="B87" s="57" t="s">
        <v>5</v>
      </c>
      <c r="C87" s="57">
        <v>40</v>
      </c>
      <c r="D87" s="57">
        <v>273.02307771725998</v>
      </c>
    </row>
    <row r="88" spans="1:4" x14ac:dyDescent="0.3">
      <c r="A88" s="57">
        <v>2019</v>
      </c>
      <c r="B88" s="57" t="s">
        <v>5</v>
      </c>
      <c r="C88" s="57">
        <v>45</v>
      </c>
      <c r="D88" s="57">
        <v>400.03251094475399</v>
      </c>
    </row>
    <row r="89" spans="1:4" x14ac:dyDescent="0.3">
      <c r="A89" s="57">
        <v>2019</v>
      </c>
      <c r="B89" s="57" t="s">
        <v>5</v>
      </c>
      <c r="C89" s="57">
        <v>50</v>
      </c>
      <c r="D89" s="57">
        <v>513.04581853353898</v>
      </c>
    </row>
    <row r="90" spans="1:4" x14ac:dyDescent="0.3">
      <c r="A90" s="57">
        <v>2019</v>
      </c>
      <c r="B90" s="57" t="s">
        <v>5</v>
      </c>
      <c r="C90" s="57">
        <v>55</v>
      </c>
      <c r="D90" s="57">
        <v>667.05862077085101</v>
      </c>
    </row>
    <row r="91" spans="1:4" x14ac:dyDescent="0.3">
      <c r="A91" s="57">
        <v>2019</v>
      </c>
      <c r="B91" s="57" t="s">
        <v>5</v>
      </c>
      <c r="C91" s="57">
        <v>60</v>
      </c>
      <c r="D91" s="57">
        <v>950.07950863172903</v>
      </c>
    </row>
    <row r="92" spans="1:4" x14ac:dyDescent="0.3">
      <c r="A92" s="57">
        <v>2019</v>
      </c>
      <c r="B92" s="57" t="s">
        <v>5</v>
      </c>
      <c r="C92" s="57">
        <v>65</v>
      </c>
      <c r="D92" s="57">
        <v>1134.0941638244401</v>
      </c>
    </row>
    <row r="93" spans="1:4" x14ac:dyDescent="0.3">
      <c r="A93" s="57">
        <v>2019</v>
      </c>
      <c r="B93" s="57" t="s">
        <v>5</v>
      </c>
      <c r="C93" s="57">
        <v>70</v>
      </c>
      <c r="D93" s="57">
        <v>1318.1015756460499</v>
      </c>
    </row>
    <row r="94" spans="1:4" x14ac:dyDescent="0.3">
      <c r="A94" s="57">
        <v>2019</v>
      </c>
      <c r="B94" s="57" t="s">
        <v>5</v>
      </c>
      <c r="C94" s="57">
        <v>75</v>
      </c>
      <c r="D94" s="57">
        <v>1411.1201052000499</v>
      </c>
    </row>
    <row r="95" spans="1:4" x14ac:dyDescent="0.3">
      <c r="A95" s="57">
        <v>2019</v>
      </c>
      <c r="B95" s="57" t="s">
        <v>5</v>
      </c>
      <c r="C95" s="57">
        <v>80</v>
      </c>
      <c r="D95" s="57">
        <v>1568.1243164623199</v>
      </c>
    </row>
    <row r="96" spans="1:4" x14ac:dyDescent="0.3">
      <c r="A96" s="57">
        <v>2019</v>
      </c>
      <c r="B96" s="57" t="s">
        <v>5</v>
      </c>
      <c r="C96" s="57">
        <v>85</v>
      </c>
      <c r="D96" s="57">
        <v>2692.2242076034499</v>
      </c>
    </row>
    <row r="97" spans="1:4" x14ac:dyDescent="0.3">
      <c r="A97">
        <v>2021</v>
      </c>
      <c r="B97" t="s">
        <v>5</v>
      </c>
      <c r="C97">
        <v>0</v>
      </c>
      <c r="D97">
        <v>253.85004613177401</v>
      </c>
    </row>
    <row r="98" spans="1:4" x14ac:dyDescent="0.3">
      <c r="A98">
        <v>2021</v>
      </c>
      <c r="B98" t="s">
        <v>5</v>
      </c>
      <c r="C98">
        <v>1</v>
      </c>
      <c r="D98">
        <v>68.008184970957601</v>
      </c>
    </row>
    <row r="99" spans="1:4" x14ac:dyDescent="0.3">
      <c r="A99">
        <v>2021</v>
      </c>
      <c r="B99" t="s">
        <v>5</v>
      </c>
      <c r="C99">
        <v>5</v>
      </c>
      <c r="D99">
        <v>18.002166609959399</v>
      </c>
    </row>
    <row r="100" spans="1:4" x14ac:dyDescent="0.3">
      <c r="A100">
        <v>2021</v>
      </c>
      <c r="B100" t="s">
        <v>5</v>
      </c>
      <c r="C100">
        <v>10</v>
      </c>
      <c r="D100">
        <v>46.0055368921184</v>
      </c>
    </row>
    <row r="101" spans="1:4" x14ac:dyDescent="0.3">
      <c r="A101">
        <v>2021</v>
      </c>
      <c r="B101" t="s">
        <v>5</v>
      </c>
      <c r="C101">
        <v>15</v>
      </c>
      <c r="D101">
        <v>78.009388643157294</v>
      </c>
    </row>
    <row r="102" spans="1:4" x14ac:dyDescent="0.3">
      <c r="A102">
        <v>2021</v>
      </c>
      <c r="B102" t="s">
        <v>5</v>
      </c>
      <c r="C102">
        <v>20</v>
      </c>
      <c r="D102">
        <v>110.013240394196</v>
      </c>
    </row>
    <row r="103" spans="1:4" x14ac:dyDescent="0.3">
      <c r="A103">
        <v>2021</v>
      </c>
      <c r="B103" t="s">
        <v>5</v>
      </c>
      <c r="C103">
        <v>25</v>
      </c>
      <c r="D103">
        <v>146.01757361411501</v>
      </c>
    </row>
    <row r="104" spans="1:4" x14ac:dyDescent="0.3">
      <c r="A104">
        <v>2021</v>
      </c>
      <c r="B104" t="s">
        <v>5</v>
      </c>
      <c r="C104">
        <v>30</v>
      </c>
      <c r="D104">
        <v>212.02551785063301</v>
      </c>
    </row>
    <row r="105" spans="1:4" x14ac:dyDescent="0.3">
      <c r="A105">
        <v>2021</v>
      </c>
      <c r="B105" t="s">
        <v>5</v>
      </c>
      <c r="C105">
        <v>35</v>
      </c>
      <c r="D105">
        <v>312.03755457262901</v>
      </c>
    </row>
    <row r="106" spans="1:4" x14ac:dyDescent="0.3">
      <c r="A106">
        <v>2021</v>
      </c>
      <c r="B106" t="s">
        <v>5</v>
      </c>
      <c r="C106">
        <v>40</v>
      </c>
      <c r="D106">
        <v>392.04718395022599</v>
      </c>
    </row>
    <row r="107" spans="1:4" x14ac:dyDescent="0.3">
      <c r="A107">
        <v>2021</v>
      </c>
      <c r="B107" t="s">
        <v>5</v>
      </c>
      <c r="C107">
        <v>45</v>
      </c>
      <c r="D107">
        <v>670.08064603737603</v>
      </c>
    </row>
    <row r="108" spans="1:4" x14ac:dyDescent="0.3">
      <c r="A108">
        <v>2021</v>
      </c>
      <c r="B108" t="s">
        <v>5</v>
      </c>
      <c r="C108">
        <v>50</v>
      </c>
      <c r="D108">
        <v>762.09171982161297</v>
      </c>
    </row>
    <row r="109" spans="1:4" x14ac:dyDescent="0.3">
      <c r="A109">
        <v>2021</v>
      </c>
      <c r="B109" t="s">
        <v>5</v>
      </c>
      <c r="C109">
        <v>55</v>
      </c>
      <c r="D109">
        <v>1066.1283114564801</v>
      </c>
    </row>
    <row r="110" spans="1:4" x14ac:dyDescent="0.3">
      <c r="A110">
        <v>2021</v>
      </c>
      <c r="B110" t="s">
        <v>5</v>
      </c>
      <c r="C110">
        <v>60</v>
      </c>
      <c r="D110">
        <v>1448.17429173451</v>
      </c>
    </row>
    <row r="111" spans="1:4" x14ac:dyDescent="0.3">
      <c r="A111">
        <v>2021</v>
      </c>
      <c r="B111" t="s">
        <v>5</v>
      </c>
      <c r="C111">
        <v>65</v>
      </c>
      <c r="D111">
        <v>1706.20534647726</v>
      </c>
    </row>
    <row r="112" spans="1:4" x14ac:dyDescent="0.3">
      <c r="A112">
        <v>2021</v>
      </c>
      <c r="B112" t="s">
        <v>5</v>
      </c>
      <c r="C112">
        <v>70</v>
      </c>
      <c r="D112">
        <v>2010.2419381121299</v>
      </c>
    </row>
    <row r="113" spans="1:4" x14ac:dyDescent="0.3">
      <c r="A113">
        <v>2021</v>
      </c>
      <c r="B113" t="s">
        <v>5</v>
      </c>
      <c r="C113">
        <v>75</v>
      </c>
      <c r="D113">
        <v>1918.23086432789</v>
      </c>
    </row>
    <row r="114" spans="1:4" x14ac:dyDescent="0.3">
      <c r="A114">
        <v>2021</v>
      </c>
      <c r="B114" t="s">
        <v>5</v>
      </c>
      <c r="C114">
        <v>80</v>
      </c>
      <c r="D114">
        <v>1970.2371234233301</v>
      </c>
    </row>
    <row r="115" spans="1:4" x14ac:dyDescent="0.3">
      <c r="A115">
        <v>2021</v>
      </c>
      <c r="B115" t="s">
        <v>5</v>
      </c>
      <c r="C115">
        <v>85</v>
      </c>
      <c r="D115">
        <v>3430.4128595644802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Decrementos Múltiples</vt:lpstr>
      <vt:lpstr>LT</vt:lpstr>
      <vt:lpstr>Homicidios</vt:lpstr>
      <vt:lpstr>Defunciones generales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Anda Tellez</dc:creator>
  <cp:lastModifiedBy>Juan Carlos De Anda Tellez</cp:lastModifiedBy>
  <dcterms:created xsi:type="dcterms:W3CDTF">2025-11-25T15:01:19Z</dcterms:created>
  <dcterms:modified xsi:type="dcterms:W3CDTF">2025-11-25T16:45:35Z</dcterms:modified>
</cp:coreProperties>
</file>